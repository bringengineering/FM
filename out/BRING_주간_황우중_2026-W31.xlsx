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500" firstSheet="0" activeTab="1" autoFilterDateGrouping="1"/>
  </bookViews>
  <sheets>
    <sheet name="00_운영규칙" sheetId="1" state="visible" r:id="rId1"/>
    <sheet name="01_업무지시서" sheetId="2" state="visible" r:id="rId2"/>
    <sheet name="02_주간완료보고서" sheetId="3" state="visible" r:id="rId3"/>
    <sheet name="03_주간관리대장" sheetId="4" state="visible" r:id="rId4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40">
    <font>
      <name val="Calibri"/>
      <charset val="1"/>
      <family val="2"/>
      <color theme="1"/>
      <sz val="11"/>
    </font>
    <font>
      <name val="맑은 고딕"/>
      <charset val="129"/>
      <family val="3"/>
      <b val="1"/>
      <color rgb="FF1F3864"/>
      <sz val="18"/>
    </font>
    <font>
      <name val="Noto Sans CJK SC"/>
      <family val="2"/>
      <b val="1"/>
      <color rgb="FF1F3864"/>
      <sz val="18"/>
    </font>
    <font>
      <name val="Noto Sans CJK SC"/>
      <family val="2"/>
      <color rgb="FF808080"/>
      <sz val="9"/>
    </font>
    <font>
      <name val="맑은 고딕"/>
      <charset val="129"/>
      <family val="3"/>
      <color rgb="FF808080"/>
      <sz val="9"/>
    </font>
    <font>
      <name val="Noto Sans CJK SC"/>
      <family val="2"/>
      <b val="1"/>
      <color rgb="FF000000"/>
      <sz val="9"/>
    </font>
    <font>
      <name val="Noto Sans CJK SC"/>
      <family val="2"/>
      <b val="1"/>
      <color rgb="FFFFFFFF"/>
      <sz val="9"/>
    </font>
    <font>
      <name val="Noto Sans CJK SC"/>
      <family val="2"/>
      <color rgb="FF000000"/>
      <sz val="9"/>
    </font>
    <font>
      <name val="맑은 고딕"/>
      <charset val="129"/>
      <family val="3"/>
      <color rgb="FF000000"/>
      <sz val="9"/>
    </font>
    <font>
      <name val="맑은 고딕"/>
      <charset val="129"/>
      <family val="3"/>
      <b val="1"/>
      <color rgb="FF000000"/>
      <sz val="9"/>
    </font>
    <font>
      <name val="맑은 고딕"/>
      <charset val="129"/>
      <family val="3"/>
      <b val="1"/>
      <color rgb="FFFFFFFF"/>
      <sz val="11"/>
    </font>
    <font>
      <name val="Noto Sans CJK SC"/>
      <family val="2"/>
      <b val="1"/>
      <color rgb="FFFFFFFF"/>
      <sz val="11"/>
    </font>
    <font>
      <name val="Noto Sans CJK SC"/>
      <family val="2"/>
      <color rgb="FFA6A6A6"/>
      <sz val="8"/>
    </font>
    <font>
      <name val="맑은 고딕"/>
      <charset val="129"/>
      <family val="3"/>
      <color rgb="FFA6A6A6"/>
      <sz val="8"/>
    </font>
    <font>
      <name val="Noto Sans CJK SC"/>
      <family val="2"/>
      <color rgb="FF808080"/>
      <sz val="8"/>
    </font>
    <font>
      <name val="맑은 고딕"/>
      <charset val="129"/>
      <family val="3"/>
      <b val="1"/>
      <color rgb="FFFFFFFF"/>
      <sz val="9"/>
    </font>
    <font>
      <name val="맑은 고딕"/>
      <charset val="129"/>
      <family val="3"/>
      <color rgb="FF808080"/>
      <sz val="8"/>
    </font>
    <font>
      <name val="맑은 고딕"/>
      <charset val="129"/>
      <family val="3"/>
      <b val="1"/>
      <color rgb="FF000000"/>
      <sz val="12"/>
    </font>
    <font>
      <name val="Noto Sans CJK SC"/>
      <family val="2"/>
      <b val="1"/>
      <color rgb="FFC00000"/>
      <sz val="9"/>
    </font>
    <font>
      <name val="맑은 고딕"/>
      <charset val="129"/>
      <family val="3"/>
      <b val="1"/>
      <color rgb="FF000000"/>
      <sz val="13"/>
    </font>
    <font>
      <name val="Noto Sans CJK SC"/>
      <family val="2"/>
      <b val="1"/>
      <color rgb="FF000000"/>
      <sz val="12"/>
    </font>
    <font>
      <name val="맑은 고딕"/>
      <charset val="129"/>
      <family val="3"/>
      <b val="1"/>
      <color rgb="FF000000"/>
      <sz val="10"/>
    </font>
    <font>
      <name val="돋움"/>
      <charset val="129"/>
      <family val="3"/>
      <sz val="8"/>
    </font>
    <font>
      <name val="Arial"/>
      <family val="2"/>
      <color rgb="FF000000"/>
      <sz val="9"/>
    </font>
    <font>
      <name val="Noto Sans CJK SC"/>
      <charset val="129"/>
      <family val="3"/>
      <color rgb="FF000000"/>
      <sz val="9"/>
    </font>
    <font>
      <name val="Noto Sans CJK SC"/>
      <charset val="129"/>
      <family val="2"/>
      <color rgb="FF000000"/>
      <sz val="9"/>
    </font>
    <font>
      <name val="Noto Sans CJK SC"/>
      <family val="2"/>
      <color theme="1"/>
      <sz val="8"/>
    </font>
    <font>
      <name val="Noto Sans CJK SC"/>
      <family val="2"/>
      <color theme="1"/>
      <sz val="9"/>
    </font>
    <font>
      <name val="Calibri"/>
      <charset val="1"/>
      <family val="2"/>
      <color theme="1"/>
      <sz val="9"/>
    </font>
    <font>
      <name val="맑은 고딕"/>
      <charset val="129"/>
      <family val="3"/>
      <color theme="1"/>
      <sz val="9"/>
    </font>
    <font>
      <name val="Arial"/>
      <family val="2"/>
      <color theme="1"/>
      <sz val="9"/>
    </font>
    <font>
      <name val="Noto Sans CJK SC"/>
      <charset val="129"/>
      <family val="3"/>
      <color theme="1"/>
      <sz val="9"/>
    </font>
    <font>
      <name val="맑은 고딕"/>
      <charset val="129"/>
      <family val="3"/>
      <color theme="1"/>
      <sz val="8"/>
    </font>
    <font>
      <name val="Noto Sans CJK SC"/>
      <charset val="129"/>
      <family val="3"/>
      <color theme="1"/>
      <sz val="8"/>
    </font>
    <font>
      <name val="Arial"/>
      <family val="2"/>
      <color theme="1"/>
      <sz val="8"/>
    </font>
    <font>
      <name val="Arial"/>
      <family val="2"/>
      <b val="1"/>
      <color rgb="FF000000"/>
      <sz val="9"/>
    </font>
    <font>
      <name val="Noto Sans CJK SC"/>
      <charset val="129"/>
      <family val="3"/>
      <b val="1"/>
      <color rgb="FF000000"/>
      <sz val="9"/>
    </font>
    <font>
      <name val="맑은 고딕"/>
      <charset val="129"/>
      <family val="3"/>
      <color rgb="FFFF0000"/>
      <sz val="9"/>
    </font>
    <font>
      <name val="Arial"/>
      <family val="2"/>
      <color rgb="FFFF0000"/>
      <sz val="9"/>
    </font>
    <font>
      <name val="Noto Sans CJK SC"/>
      <charset val="129"/>
      <family val="3"/>
      <color rgb="FFFF0000"/>
      <sz val="9"/>
    </font>
  </fonts>
  <fills count="9">
    <fill>
      <patternFill/>
    </fill>
    <fill>
      <patternFill patternType="gray125"/>
    </fill>
    <fill>
      <patternFill patternType="solid">
        <fgColor rgb="FF2E5B9A"/>
        <bgColor rgb="FF0066CC"/>
      </patternFill>
    </fill>
    <fill>
      <patternFill patternType="solid">
        <fgColor rgb="FFD9D9D9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</fills>
  <borders count="1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indexed="64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122">
    <xf numFmtId="0" fontId="0" fillId="0" borderId="0" pivotButton="0" quotePrefix="0" xfId="0"/>
    <xf numFmtId="0" fontId="8" fillId="4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164" fontId="8" fillId="4" borderId="1" applyAlignment="1" pivotButton="0" quotePrefix="0" xfId="0">
      <alignment horizontal="center" vertical="center" wrapText="1"/>
    </xf>
    <xf numFmtId="164" fontId="8" fillId="7" borderId="1" applyAlignment="1" pivotButton="0" quotePrefix="0" xfId="0">
      <alignment horizontal="center" vertical="center" wrapText="1"/>
    </xf>
    <xf numFmtId="9" fontId="8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center" vertical="center" wrapText="1"/>
    </xf>
    <xf numFmtId="164" fontId="16" fillId="6" borderId="1" applyAlignment="1" pivotButton="0" quotePrefix="0" xfId="0">
      <alignment horizontal="center" vertical="center" wrapText="1"/>
    </xf>
    <xf numFmtId="9" fontId="16" fillId="6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top" wrapText="1"/>
    </xf>
    <xf numFmtId="9" fontId="8" fillId="4" borderId="1" applyAlignment="1" pivotButton="0" quotePrefix="0" xfId="0">
      <alignment horizontal="center" vertical="center" wrapText="1"/>
    </xf>
    <xf numFmtId="164" fontId="9" fillId="7" borderId="1" applyAlignment="1" pivotButton="0" quotePrefix="0" xfId="0">
      <alignment horizontal="center" vertical="center" wrapText="1"/>
    </xf>
    <xf numFmtId="9" fontId="9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9" fontId="19" fillId="7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  <xf numFmtId="9" fontId="21" fillId="7" borderId="1" applyAlignment="1" pivotButton="0" quotePrefix="0" xfId="0">
      <alignment horizontal="center" vertical="center" wrapText="1"/>
    </xf>
    <xf numFmtId="1" fontId="8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3" borderId="3" applyAlignment="1" pivotButton="0" quotePrefix="0" xfId="0">
      <alignment horizontal="center" vertical="center" wrapText="1"/>
    </xf>
    <xf numFmtId="0" fontId="7" fillId="4" borderId="3" applyAlignment="1" pivotButton="0" quotePrefix="0" xfId="0">
      <alignment horizontal="center" vertical="center" wrapText="1"/>
    </xf>
    <xf numFmtId="0" fontId="24" fillId="4" borderId="3" applyAlignment="1" pivotButton="0" quotePrefix="0" xfId="0">
      <alignment horizontal="center" vertical="center" wrapText="1"/>
    </xf>
    <xf numFmtId="0" fontId="25" fillId="4" borderId="3" applyAlignment="1" pivotButton="0" quotePrefix="0" xfId="0">
      <alignment horizontal="center" vertical="center" wrapText="1"/>
    </xf>
    <xf numFmtId="0" fontId="0" fillId="0" borderId="2" pivotButton="0" quotePrefix="0" xfId="0"/>
    <xf numFmtId="0" fontId="8" fillId="7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6" pivotButton="0" quotePrefix="0" xfId="0"/>
    <xf numFmtId="0" fontId="12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10" fillId="5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8" fillId="6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 wrapText="1"/>
    </xf>
    <xf numFmtId="0" fontId="21" fillId="8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8" fillId="8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31" fillId="4" borderId="1" applyAlignment="1" pivotButton="0" quotePrefix="0" xfId="0">
      <alignment horizontal="left" vertical="top" wrapText="1"/>
    </xf>
    <xf numFmtId="0" fontId="28" fillId="0" borderId="7" applyAlignment="1" pivotButton="0" quotePrefix="0" xfId="0">
      <alignment horizontal="left"/>
    </xf>
    <xf numFmtId="0" fontId="28" fillId="0" borderId="6" applyAlignment="1" pivotButton="0" quotePrefix="0" xfId="0">
      <alignment horizontal="left"/>
    </xf>
    <xf numFmtId="0" fontId="27" fillId="4" borderId="1" applyAlignment="1" pivotButton="0" quotePrefix="0" xfId="0">
      <alignment horizontal="left" vertical="center" wrapText="1"/>
    </xf>
    <xf numFmtId="0" fontId="5" fillId="3" borderId="13" applyAlignment="1" pivotButton="0" quotePrefix="0" xfId="0">
      <alignment horizontal="center" vertical="center" wrapText="1"/>
    </xf>
    <xf numFmtId="0" fontId="5" fillId="3" borderId="7" applyAlignment="1" pivotButton="0" quotePrefix="0" xfId="0">
      <alignment horizontal="center" vertical="center" wrapText="1"/>
    </xf>
    <xf numFmtId="0" fontId="5" fillId="3" borderId="6" applyAlignment="1" pivotButton="0" quotePrefix="0" xfId="0">
      <alignment horizontal="center" vertical="center" wrapText="1"/>
    </xf>
    <xf numFmtId="0" fontId="8" fillId="4" borderId="13" applyAlignment="1" pivotButton="0" quotePrefix="0" xfId="0">
      <alignment horizontal="center" vertical="center" wrapText="1"/>
    </xf>
    <xf numFmtId="0" fontId="8" fillId="4" borderId="7" applyAlignment="1" pivotButton="0" quotePrefix="0" xfId="0">
      <alignment horizontal="center" vertical="center" wrapText="1"/>
    </xf>
    <xf numFmtId="0" fontId="8" fillId="4" borderId="6" applyAlignment="1" pivotButton="0" quotePrefix="0" xfId="0">
      <alignment horizontal="center" vertical="center" wrapText="1"/>
    </xf>
    <xf numFmtId="0" fontId="12" fillId="4" borderId="13" applyAlignment="1" pivotButton="0" quotePrefix="0" xfId="0">
      <alignment horizontal="center" vertical="center" wrapText="1"/>
    </xf>
    <xf numFmtId="0" fontId="12" fillId="4" borderId="7" applyAlignment="1" pivotButton="0" quotePrefix="0" xfId="0">
      <alignment horizontal="center" vertical="center" wrapText="1"/>
    </xf>
    <xf numFmtId="0" fontId="12" fillId="4" borderId="6" applyAlignment="1" pivotButton="0" quotePrefix="0" xfId="0">
      <alignment horizontal="center" vertical="center" wrapText="1"/>
    </xf>
    <xf numFmtId="0" fontId="13" fillId="4" borderId="13" applyAlignment="1" pivotButton="0" quotePrefix="0" xfId="0">
      <alignment vertical="top" wrapText="1"/>
    </xf>
    <xf numFmtId="0" fontId="13" fillId="4" borderId="7" applyAlignment="1" pivotButton="0" quotePrefix="0" xfId="0">
      <alignment vertical="top" wrapText="1"/>
    </xf>
    <xf numFmtId="0" fontId="13" fillId="4" borderId="6" applyAlignment="1" pivotButton="0" quotePrefix="0" xfId="0">
      <alignment vertical="top" wrapText="1"/>
    </xf>
    <xf numFmtId="0" fontId="12" fillId="4" borderId="13" applyAlignment="1" pivotButton="0" quotePrefix="0" xfId="0">
      <alignment vertical="top" wrapText="1"/>
    </xf>
    <xf numFmtId="0" fontId="12" fillId="4" borderId="7" applyAlignment="1" pivotButton="0" quotePrefix="0" xfId="0">
      <alignment vertical="top" wrapText="1"/>
    </xf>
    <xf numFmtId="0" fontId="12" fillId="4" borderId="6" applyAlignment="1" pivotButton="0" quotePrefix="0" xfId="0">
      <alignment vertical="top" wrapText="1"/>
    </xf>
    <xf numFmtId="0" fontId="11" fillId="5" borderId="11" applyAlignment="1" pivotButton="0" quotePrefix="0" xfId="0">
      <alignment horizontal="left" vertical="center" wrapText="1"/>
    </xf>
    <xf numFmtId="0" fontId="10" fillId="5" borderId="11" applyAlignment="1" pivotButton="0" quotePrefix="0" xfId="0">
      <alignment horizontal="left" vertical="center" wrapText="1"/>
    </xf>
    <xf numFmtId="0" fontId="5" fillId="7" borderId="13" applyAlignment="1" pivotButton="0" quotePrefix="0" xfId="0">
      <alignment horizontal="left" vertical="center" wrapText="1"/>
    </xf>
    <xf numFmtId="0" fontId="5" fillId="7" borderId="7" applyAlignment="1" pivotButton="0" quotePrefix="0" xfId="0">
      <alignment horizontal="left" vertical="center" wrapText="1"/>
    </xf>
    <xf numFmtId="0" fontId="5" fillId="7" borderId="6" applyAlignment="1" pivotButton="0" quotePrefix="0" xfId="0">
      <alignment horizontal="left" vertical="center" wrapText="1"/>
    </xf>
    <xf numFmtId="0" fontId="5" fillId="6" borderId="14" applyAlignment="1" pivotButton="0" quotePrefix="0" xfId="0">
      <alignment horizontal="center" vertical="center" wrapText="1"/>
    </xf>
    <xf numFmtId="0" fontId="5" fillId="6" borderId="15" applyAlignment="1" pivotButton="0" quotePrefix="0" xfId="0">
      <alignment horizontal="center" vertical="center" wrapText="1"/>
    </xf>
    <xf numFmtId="0" fontId="32" fillId="4" borderId="13" applyAlignment="1" pivotButton="0" quotePrefix="0" xfId="0">
      <alignment vertical="center" wrapText="1"/>
    </xf>
    <xf numFmtId="0" fontId="32" fillId="4" borderId="7" applyAlignment="1" pivotButton="0" quotePrefix="0" xfId="0">
      <alignment vertical="center" wrapText="1"/>
    </xf>
    <xf numFmtId="0" fontId="32" fillId="4" borderId="6" applyAlignment="1" pivotButton="0" quotePrefix="0" xfId="0">
      <alignment vertical="center" wrapText="1"/>
    </xf>
    <xf numFmtId="0" fontId="32" fillId="4" borderId="13" applyAlignment="1" pivotButton="0" quotePrefix="0" xfId="0">
      <alignment horizontal="left" vertical="center" wrapText="1"/>
    </xf>
    <xf numFmtId="0" fontId="32" fillId="4" borderId="7" applyAlignment="1" pivotButton="0" quotePrefix="0" xfId="0">
      <alignment horizontal="left" vertical="center" wrapText="1"/>
    </xf>
    <xf numFmtId="0" fontId="32" fillId="4" borderId="6" applyAlignment="1" pivotButton="0" quotePrefix="0" xfId="0">
      <alignment horizontal="left" vertical="center" wrapText="1"/>
    </xf>
    <xf numFmtId="0" fontId="26" fillId="4" borderId="1" applyAlignment="1" pivotButton="0" quotePrefix="0" xfId="0">
      <alignment horizontal="left" vertical="center" wrapText="1"/>
    </xf>
    <xf numFmtId="0" fontId="0" fillId="0" borderId="7" applyAlignment="1" pivotButton="0" quotePrefix="0" xfId="0">
      <alignment horizontal="left"/>
    </xf>
    <xf numFmtId="0" fontId="0" fillId="0" borderId="6" applyAlignment="1" pivotButton="0" quotePrefix="0" xfId="0">
      <alignment horizontal="left"/>
    </xf>
    <xf numFmtId="0" fontId="33" fillId="4" borderId="1" applyAlignment="1" pivotButton="0" quotePrefix="0" xfId="0">
      <alignment horizontal="left" vertical="center" wrapText="1"/>
    </xf>
    <xf numFmtId="0" fontId="36" fillId="6" borderId="1" applyAlignment="1" pivotButton="0" quotePrefix="0" xfId="0">
      <alignment horizontal="center" vertical="center" wrapText="1"/>
    </xf>
    <xf numFmtId="0" fontId="39" fillId="4" borderId="1" applyAlignment="1" pivotButton="0" quotePrefix="0" xfId="0">
      <alignment horizontal="center" vertical="center" wrapText="1"/>
    </xf>
    <xf numFmtId="0" fontId="24" fillId="4" borderId="1" applyAlignment="1" pivotButton="0" quotePrefix="0" xfId="0">
      <alignment horizontal="center" vertical="center" wrapText="1"/>
    </xf>
    <xf numFmtId="14" fontId="7" fillId="4" borderId="1" applyAlignment="1" pivotButton="0" quotePrefix="0" xfId="0">
      <alignment horizontal="center" vertical="center" wrapText="1"/>
    </xf>
    <xf numFmtId="0" fontId="8" fillId="4" borderId="3" applyAlignment="1" pivotButton="0" quotePrefix="0" xfId="0">
      <alignment horizontal="center" vertical="center" wrapText="1"/>
    </xf>
    <xf numFmtId="0" fontId="32" fillId="4" borderId="1" applyAlignment="1" pivotButton="0" quotePrefix="0" xfId="0">
      <alignment vertical="center" wrapText="1"/>
    </xf>
    <xf numFmtId="0" fontId="0" fillId="0" borderId="15" pivotButton="0" quotePrefix="0" xfId="0"/>
    <xf numFmtId="0" fontId="32" fillId="4" borderId="1" applyAlignment="1" pivotButton="0" quotePrefix="0" xfId="0">
      <alignment horizontal="left" vertical="center" wrapText="1"/>
    </xf>
    <xf numFmtId="164" fontId="8" fillId="4" borderId="1" applyAlignment="1" pivotButton="0" quotePrefix="0" xfId="0">
      <alignment horizontal="center" vertical="center" wrapText="1"/>
    </xf>
    <xf numFmtId="164" fontId="9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vertical="top" wrapText="1"/>
    </xf>
    <xf numFmtId="0" fontId="13" fillId="4" borderId="1" applyAlignment="1" pivotButton="0" quotePrefix="0" xfId="0">
      <alignment vertical="top" wrapText="1"/>
    </xf>
    <xf numFmtId="164" fontId="8" fillId="7" borderId="1" applyAlignment="1" pivotButton="0" quotePrefix="0" xfId="0">
      <alignment horizontal="center" vertical="center" wrapText="1"/>
    </xf>
    <xf numFmtId="164" fontId="16" fillId="6" borderId="1" applyAlignment="1" pivotButton="0" quotePrefix="0" xfId="0">
      <alignment horizontal="center" vertical="center" wrapText="1"/>
    </xf>
    <xf numFmtId="0" fontId="10" fillId="5" borderId="12" applyAlignment="1" pivotButton="0" quotePrefix="0" xfId="0">
      <alignment horizontal="left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1F3864"/>
      <rgbColor rgb="FF339966"/>
      <rgbColor rgb="FF003300"/>
      <rgbColor rgb="FF333300"/>
      <rgbColor rgb="FF993300"/>
      <rgbColor rgb="FF993366"/>
      <rgbColor rgb="FF2E5B9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30"/>
  <sheetViews>
    <sheetView showGridLines="0" zoomScaleNormal="100" workbookViewId="0">
      <selection activeCell="K11" sqref="K11"/>
    </sheetView>
  </sheetViews>
  <sheetFormatPr baseColWidth="8" defaultColWidth="8.7109375" defaultRowHeight="15"/>
  <cols>
    <col width="8.7109375" customWidth="1" style="54" min="1" max="1"/>
    <col width="22" customWidth="1" style="54" min="2" max="2"/>
    <col width="58" customWidth="1" style="54" min="3" max="3"/>
    <col width="56.42578125" customWidth="1" style="54" min="4" max="4"/>
    <col width="30" customWidth="1" style="54" min="5" max="5"/>
    <col width="8.7109375" customWidth="1" style="54" min="6" max="6"/>
    <col width="8.7109375" customWidth="1" style="54" min="7" max="16384"/>
  </cols>
  <sheetData>
    <row r="2" ht="25.5" customHeight="1" s="49">
      <c r="C2" s="32" t="inlineStr">
        <is>
          <t>BRING 주간 업무지시·완료보고 운영규칙</t>
        </is>
      </c>
    </row>
    <row r="3">
      <c r="C3" s="67" t="inlineStr">
        <is>
          <t>월요일 지시 → 금요일 회수. 지시되지 않은 업무는 평가하지 않으며, 완료기준이 없는 업무는 지시하지 않음.</t>
        </is>
      </c>
    </row>
    <row r="5">
      <c r="B5" s="34" t="inlineStr">
        <is>
          <t>■ 주간 사이클</t>
        </is>
      </c>
    </row>
    <row r="6" ht="19.5" customHeight="1" s="49">
      <c r="B6" s="46" t="inlineStr">
        <is>
          <t>시점</t>
        </is>
      </c>
      <c r="C6" s="46" t="inlineStr">
        <is>
          <t>행위자</t>
        </is>
      </c>
      <c r="D6" s="46" t="inlineStr">
        <is>
          <t>행위</t>
        </is>
      </c>
      <c r="E6" s="46" t="inlineStr">
        <is>
          <t>미이행 시</t>
        </is>
      </c>
    </row>
    <row r="7" ht="30" customHeight="1" s="49">
      <c r="B7" s="22" t="inlineStr">
        <is>
          <t>월 09:00</t>
        </is>
      </c>
      <c r="C7" s="23" t="inlineStr">
        <is>
          <t>대표</t>
        </is>
      </c>
      <c r="D7" s="23" t="inlineStr">
        <is>
          <t>[01_업무지시서] 작성·전달</t>
        </is>
      </c>
      <c r="E7" s="22" t="inlineStr">
        <is>
          <t>지시 무효 — 해당 주 미평가</t>
        </is>
      </c>
    </row>
    <row r="8" ht="30" customHeight="1" s="49">
      <c r="B8" s="22" t="inlineStr">
        <is>
          <t>월 12:00</t>
        </is>
      </c>
      <c r="C8" s="22" t="inlineStr">
        <is>
          <t>담당자</t>
        </is>
      </c>
      <c r="D8" s="23" t="inlineStr">
        <is>
          <t>[01] 하단 접수확인 작성 (본인 언어로 재정의 + 리스크 + 필요지원)</t>
        </is>
      </c>
      <c r="E8" s="22" t="inlineStr">
        <is>
          <t>업무 미이해로 간주, 재지시</t>
        </is>
      </c>
    </row>
    <row r="9" ht="30" customHeight="1" s="49">
      <c r="B9" s="22" t="inlineStr">
        <is>
          <t>화~목</t>
        </is>
      </c>
      <c r="C9" s="22" t="inlineStr">
        <is>
          <t>담당자</t>
        </is>
      </c>
      <c r="D9" s="22" t="inlineStr">
        <is>
          <t>이슈 발생 즉시 보고 (일정 2일↑ 지연 / 비용 초과 / 안전)</t>
        </is>
      </c>
      <c r="E9" s="22" t="inlineStr">
        <is>
          <t>금요일 사유 인정 불가</t>
        </is>
      </c>
    </row>
    <row r="10" ht="30" customHeight="1" s="49">
      <c r="B10" s="22" t="inlineStr">
        <is>
          <t>금 17:00</t>
        </is>
      </c>
      <c r="C10" s="22" t="inlineStr">
        <is>
          <t>담당자</t>
        </is>
      </c>
      <c r="D10" s="23" t="inlineStr">
        <is>
          <t>[02_주간완료보고서] 제출 — 증빙 필수</t>
        </is>
      </c>
      <c r="E10" s="22" t="inlineStr">
        <is>
          <t>미제출 = 미완료 처리</t>
        </is>
      </c>
    </row>
    <row r="11" ht="30" customHeight="1" s="49">
      <c r="B11" s="22" t="inlineStr">
        <is>
          <t>금 18:00</t>
        </is>
      </c>
      <c r="C11" s="22" t="inlineStr">
        <is>
          <t>대표/부대표</t>
        </is>
      </c>
      <c r="D11" s="23" t="inlineStr">
        <is>
          <t>§4 검수기준으로 검수 → [03_관리대장] 기록 → 다음 주 지시 반영</t>
        </is>
      </c>
      <c r="E11" s="23" t="inlineStr">
        <is>
          <t>-</t>
        </is>
      </c>
    </row>
    <row r="14">
      <c r="B14" s="34" t="inlineStr">
        <is>
          <t>■ 업무지시서 구성 (6개 챕터)</t>
        </is>
      </c>
    </row>
    <row r="15" ht="19.5" customHeight="1" s="49">
      <c r="B15" s="46" t="inlineStr">
        <is>
          <t>챕터</t>
        </is>
      </c>
      <c r="C15" s="46" t="inlineStr">
        <is>
          <t>내용</t>
        </is>
      </c>
      <c r="D15" s="46" t="inlineStr">
        <is>
          <t>작성 주기</t>
        </is>
      </c>
      <c r="E15" s="46" t="inlineStr">
        <is>
          <t>미작성 시</t>
        </is>
      </c>
    </row>
    <row r="16" ht="25.5" customHeight="1" s="49">
      <c r="B16" s="23" t="inlineStr">
        <is>
          <t>1. 지시 배경 및 목적</t>
        </is>
      </c>
      <c r="C16" s="22" t="inlineStr">
        <is>
          <t>왜 이 업무가 필요한가 · 이번 주 목표 · 실패 시 손실</t>
        </is>
      </c>
      <c r="D16" s="22" t="inlineStr">
        <is>
          <t>매주 갱신</t>
        </is>
      </c>
      <c r="E16" s="22" t="inlineStr">
        <is>
          <t>우선순위 판단 불가</t>
        </is>
      </c>
    </row>
    <row r="17" ht="25.5" customHeight="1" s="49">
      <c r="B17" s="23" t="inlineStr">
        <is>
          <t>2. 업무 범위</t>
        </is>
      </c>
      <c r="C17" s="22" t="inlineStr">
        <is>
          <t>포함 / 제외 / 전제조건</t>
        </is>
      </c>
      <c r="D17" s="22" t="inlineStr">
        <is>
          <t>매주 갱신</t>
        </is>
      </c>
      <c r="E17" s="22" t="inlineStr">
        <is>
          <t>과잉 수행 또는 누락</t>
        </is>
      </c>
    </row>
    <row r="18" ht="25.5" customHeight="1" s="49">
      <c r="B18" s="23" t="inlineStr">
        <is>
          <t>3. 지시 업무</t>
        </is>
      </c>
      <c r="C18" s="22" t="inlineStr">
        <is>
          <t>업무명·완료기준·산출물·마감·가중치 (본문)</t>
        </is>
      </c>
      <c r="D18" s="22" t="inlineStr">
        <is>
          <t>매주 갱신</t>
        </is>
      </c>
      <c r="E18" s="22" t="inlineStr">
        <is>
          <t>지시 성립 안 됨</t>
        </is>
      </c>
    </row>
    <row r="19" ht="25.5" customHeight="1" s="49">
      <c r="B19" s="23" t="inlineStr">
        <is>
          <t>4. 검수 기준</t>
        </is>
      </c>
      <c r="C19" s="22" t="inlineStr">
        <is>
          <t>합격/보완/불합격 판정 기준</t>
        </is>
      </c>
      <c r="D19" s="23" t="inlineStr">
        <is>
          <t>1회 작성 후 재사용</t>
        </is>
      </c>
      <c r="E19" s="22" t="inlineStr">
        <is>
          <t>담당자 자기검열 불가</t>
        </is>
      </c>
    </row>
    <row r="20" ht="25.5" customHeight="1" s="49">
      <c r="B20" s="23" t="inlineStr">
        <is>
          <t>5. 제공 자원 및 권한</t>
        </is>
      </c>
      <c r="C20" s="22" t="inlineStr">
        <is>
          <t>예산 한도·장비·계정·자율 결정 범위</t>
        </is>
      </c>
      <c r="D20" s="23" t="inlineStr">
        <is>
          <t>1회 작성 후 재사용</t>
        </is>
      </c>
      <c r="E20" s="22" t="inlineStr">
        <is>
          <t>매번 대표에게 질문</t>
        </is>
      </c>
    </row>
    <row r="21" ht="25.5" customHeight="1" s="49">
      <c r="B21" s="23" t="inlineStr">
        <is>
          <t>6. 제약 및 주의사항</t>
        </is>
      </c>
      <c r="C21" s="22" t="inlineStr">
        <is>
          <t>안전·비용·보안·대외 — 위반 시 무조건 불합격</t>
        </is>
      </c>
      <c r="D21" s="23" t="inlineStr">
        <is>
          <t>1회 작성 후 재사용</t>
        </is>
      </c>
      <c r="E21" s="22" t="inlineStr">
        <is>
          <t>사고·비용 리스크</t>
        </is>
      </c>
    </row>
    <row r="22" ht="25.5" customHeight="1" s="49">
      <c r="B22" s="22" t="inlineStr">
        <is>
          <t>접수확인</t>
        </is>
      </c>
      <c r="C22" s="22" t="inlineStr">
        <is>
          <t>담당자가 본인 언어로 재정의 (월 12:00까지)</t>
        </is>
      </c>
      <c r="D22" s="22" t="inlineStr">
        <is>
          <t>매주</t>
        </is>
      </c>
      <c r="E22" s="22" t="inlineStr">
        <is>
          <t>재지시</t>
        </is>
      </c>
    </row>
    <row r="24">
      <c r="B24" s="34" t="inlineStr">
        <is>
          <t>■ 원칙</t>
        </is>
      </c>
    </row>
    <row r="25" ht="36" customHeight="1" s="49">
      <c r="B25" s="53" t="inlineStr">
        <is>
          <t>· 지시자: 완료기준을 숫자·파일·시험결과로 쓸 것. '개발 완료'는 완료기준이 아님.</t>
        </is>
      </c>
    </row>
    <row r="26" ht="36" customHeight="1" s="49">
      <c r="B26" s="53" t="inlineStr">
        <is>
          <t>· 지시자: §4~6은 한 번 채우면 매주 그대로 복사. 매주 새로 쓰는 것은 §1~3뿐임.</t>
        </is>
      </c>
    </row>
    <row r="27" ht="36" customHeight="1" s="49">
      <c r="B27" s="53" t="inlineStr">
        <is>
          <t>· 담당자: 증빙(파일·링크·로그·측정값) 없는 진행률은 0%로 처리됨.</t>
        </is>
      </c>
    </row>
    <row r="28" ht="48" customHeight="1" s="49">
      <c r="B28" s="53" t="inlineStr">
        <is>
          <t>· 담당자: 미완료 시 '무엇 때문에' 막혔는지 원인을 쓸 것. 사유 없는 미완료는 귀책.</t>
        </is>
      </c>
    </row>
    <row r="29" ht="48" customHeight="1" s="49">
      <c r="B29" s="53" t="inlineStr">
        <is>
          <t>· 파일명: BRING_주간_[담당자]_[주차].xlsx  (예: BRING_주간_황우중_2026-W29.xlsx)</t>
        </is>
      </c>
    </row>
    <row r="30" ht="36" customHeight="1" s="49">
      <c r="B30" s="53" t="inlineStr">
        <is>
          <t>· 색상: 노란색=입력 / 초록색=자동계산(수정금지) / 주황색=대표 전용</t>
        </is>
      </c>
    </row>
  </sheetData>
  <mergeCells count="6">
    <mergeCell ref="B26:E26"/>
    <mergeCell ref="B27:E27"/>
    <mergeCell ref="B30:E30"/>
    <mergeCell ref="B29:E29"/>
    <mergeCell ref="B25:E25"/>
    <mergeCell ref="B28:E28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K48"/>
  <sheetViews>
    <sheetView showGridLines="0" tabSelected="1" zoomScaleNormal="100" workbookViewId="0">
      <selection activeCell="C22" sqref="C22:J22"/>
    </sheetView>
  </sheetViews>
  <sheetFormatPr baseColWidth="8" defaultColWidth="8.7109375" defaultRowHeight="15"/>
  <cols>
    <col width="24.7109375" customWidth="1" style="49" min="2" max="2"/>
    <col width="20" customWidth="1" style="49" min="3" max="3"/>
    <col width="30" customWidth="1" style="49" min="4" max="4"/>
    <col width="40" customWidth="1" style="49" min="5" max="5"/>
    <col width="26" customWidth="1" style="49" min="6" max="6"/>
    <col width="31.5703125" customWidth="1" style="49" min="7" max="7"/>
    <col width="20" customWidth="1" style="49" min="8" max="8"/>
    <col width="24.85546875" customWidth="1" style="49" min="9" max="9"/>
    <col width="12.7109375" customWidth="1" style="49" min="10" max="10"/>
    <col width="24.42578125" customWidth="1" style="49" min="11" max="11"/>
  </cols>
  <sheetData>
    <row r="1" ht="33.75" customHeight="1" s="49">
      <c r="B1" s="50" t="inlineStr">
        <is>
          <t>업 무 지 시 서</t>
        </is>
      </c>
    </row>
    <row r="2">
      <c r="B2" s="52" t="inlineStr">
        <is>
          <t>Work Instruction  |  브링엔지니어링 주식회사  |  본 지시서는 범위·완료기준·자원·제약을 확정하는 사내 공식 문서임</t>
        </is>
      </c>
    </row>
    <row r="4" ht="19.5" customHeight="1" s="49">
      <c r="B4" s="4" t="inlineStr">
        <is>
          <t>문서번호</t>
        </is>
      </c>
      <c r="C4" s="47" t="inlineStr">
        <is>
          <t>BE-2026-W31-02</t>
        </is>
      </c>
      <c r="D4" s="4" t="inlineStr">
        <is>
          <t>주차</t>
        </is>
      </c>
      <c r="E4" s="47" t="inlineStr">
        <is>
          <t>2026-W31</t>
        </is>
      </c>
      <c r="F4" s="4" t="inlineStr">
        <is>
          <t>대상기간</t>
        </is>
      </c>
      <c r="G4" s="47" t="inlineStr">
        <is>
          <t>07-27(월)~07-31(금)</t>
        </is>
      </c>
      <c r="H4" s="4" t="inlineStr">
        <is>
          <t>보고기한</t>
        </is>
      </c>
      <c r="I4" s="47" t="inlineStr">
        <is>
          <t>07-31(금) 17:00</t>
        </is>
      </c>
      <c r="J4" s="4" t="inlineStr">
        <is>
          <t>접수확인 기한</t>
        </is>
      </c>
      <c r="K4" s="47" t="inlineStr">
        <is>
          <t>07-27(월) 12:00</t>
        </is>
      </c>
    </row>
    <row r="5" ht="19.5" customFormat="1" customHeight="1" s="39">
      <c r="B5" s="35" t="inlineStr">
        <is>
          <t>수신 (담당자)</t>
        </is>
      </c>
      <c r="C5" s="110" t="inlineStr">
        <is>
          <t>황 우 중</t>
        </is>
      </c>
      <c r="D5" s="35" t="inlineStr">
        <is>
          <t>소속/직무</t>
        </is>
      </c>
      <c r="E5" s="110" t="inlineStr">
        <is>
          <t>온라인 마케팅 채널 운영 / 회사자료 관리</t>
        </is>
      </c>
      <c r="F5" s="35" t="inlineStr">
        <is>
          <t>발신 (지시자)</t>
        </is>
      </c>
      <c r="G5" s="37" t="inlineStr">
        <is>
          <t>대표 서창환</t>
        </is>
      </c>
      <c r="H5" s="35" t="inlineStr">
        <is>
          <t>검수자</t>
        </is>
      </c>
      <c r="I5" s="38" t="inlineStr">
        <is>
          <t>팀장 서창환</t>
        </is>
      </c>
      <c r="J5" s="35" t="inlineStr">
        <is>
          <t>문서등급</t>
        </is>
      </c>
      <c r="K5" s="36" t="inlineStr">
        <is>
          <t>사내</t>
        </is>
      </c>
    </row>
    <row r="7" ht="19.5" customHeight="1" s="49">
      <c r="B7" s="48" t="inlineStr">
        <is>
          <t>1. 지시 배경 및 목적</t>
        </is>
      </c>
    </row>
    <row r="8" ht="86.25" customHeight="1" s="49">
      <c r="B8" s="45" t="inlineStr">
        <is>
          <t>배경
(왜 지금 이 업무인가)</t>
        </is>
      </c>
      <c r="C8" s="70" t="inlineStr">
        <is>
          <t>황우중 담당자는 당분간 온라인 마케팅 채널 운영과 회사 자료 정리를 담당합니다. 담당 채널은 네이버 블로그·숨고·네이버 플레이스·당근·카카오톡 채널(비즈니스 파트너)이며, 회사 자료는 구글 드라이브를 정리·문서화합니다.
핵심 기준은 단순히 게시물·서비스를 올리는 것이 아니라, 각 채널에서 문의와 계약이 얼마나 발생했는지를 '숫자'로 남기는 것입니다. 우중 담당자는 게시·정리·기록·분석까지 맡고, 가격 변경·광고 예산/키워드 변경·외부 공개·파일 삭제·광고성 메시지 발송은 대표 확인 후 진행합니다.
업무에는 즉시 진행할 것, 첫 주 내 진행할 것, 매주·매일 반복할 것이 섞여 있으므로, 매일 확인 업무(숨고 신규문의·플레이스 광고 정상노출·광고비 과다소진·전화/톡톡/리뷰·당근/카카오톡 채팅·당일 사진/서류 정리)를 먼저 챙긴 뒤 주간 업무를 진행합니다.</t>
        </is>
      </c>
      <c r="D8" s="41" t="n"/>
      <c r="E8" s="41" t="n"/>
      <c r="F8" s="41" t="n"/>
      <c r="G8" s="41" t="n"/>
      <c r="H8" s="41" t="n"/>
      <c r="I8" s="41" t="n"/>
      <c r="J8" s="41" t="n"/>
      <c r="K8" s="42" t="n"/>
    </row>
    <row r="9" ht="25.5" customHeight="1" s="49">
      <c r="B9" s="45" t="inlineStr">
        <is>
          <t>이번 주 목표
(한 문장)</t>
        </is>
      </c>
      <c r="C9" s="73" t="inlineStr">
        <is>
          <t>네이버 블로그·숨고·네이버 플레이스·당근·카카오톡 채널 5개 채널을 정상 운영·최신화하고, 채널별 문의·견적·계약을 숫자로 기록·분석하며, 구글 드라이브 자료를 건물별로 정리·문서화하는 것입니다.</t>
        </is>
      </c>
      <c r="D9" s="41" t="n"/>
      <c r="E9" s="41" t="n"/>
      <c r="F9" s="41" t="n"/>
      <c r="G9" s="41" t="n"/>
      <c r="H9" s="41" t="n"/>
      <c r="I9" s="41" t="n"/>
      <c r="J9" s="41" t="n"/>
      <c r="K9" s="42" t="n"/>
    </row>
    <row r="10" ht="72.75" customHeight="1" s="49">
      <c r="B10" s="45" t="inlineStr">
        <is>
          <t>미달 시 손실
(회사 관점)</t>
        </is>
      </c>
      <c r="C10" s="73" t="inlineStr">
        <is>
          <t>광고비가 실제 문의·계약으로 이어지는지 확인하지 않으면 비용이 새고, 채널 정보가 낡으면 고객 신뢰와 문의가 줄어듭니다. 또한 자료가 흩어져 있으면 운영·정산에서 누락이 생기고 필요한 서류를 제때 찾지 못합니다.</t>
        </is>
      </c>
      <c r="D10" s="41" t="n"/>
      <c r="E10" s="41" t="n"/>
      <c r="F10" s="41" t="n"/>
      <c r="G10" s="41" t="n"/>
      <c r="H10" s="41" t="n"/>
      <c r="I10" s="41" t="n"/>
      <c r="J10" s="41" t="n"/>
      <c r="K10" s="42" t="n"/>
    </row>
    <row r="12" ht="19.5" customHeight="1" s="49">
      <c r="B12" s="48" t="inlineStr">
        <is>
          <t>2. 업무 범위</t>
        </is>
      </c>
    </row>
    <row r="13" ht="19.5" customHeight="1" s="49">
      <c r="B13" s="46" t="inlineStr">
        <is>
          <t>구분</t>
        </is>
      </c>
      <c r="C13" s="46" t="inlineStr">
        <is>
          <t>내용</t>
        </is>
      </c>
      <c r="D13" s="41" t="n"/>
      <c r="E13" s="41" t="n"/>
      <c r="F13" s="41" t="n"/>
      <c r="G13" s="41" t="n"/>
      <c r="H13" s="41" t="n"/>
      <c r="I13" s="41" t="n"/>
      <c r="J13" s="42" t="n"/>
      <c r="K13" s="46" t="inlineStr">
        <is>
          <t>판단 주체</t>
        </is>
      </c>
    </row>
    <row r="14" ht="40.5" customHeight="1" s="49">
      <c r="B14" s="94" t="inlineStr">
        <is>
          <t>포함 범위</t>
        </is>
      </c>
      <c r="C14" s="111" t="inlineStr">
        <is>
          <t>1. 네이버 블로그 인수인계 및 운영 (기존 글 정리·신규 포스팅·성과 확인)</t>
        </is>
      </c>
      <c r="D14" s="41" t="n"/>
      <c r="E14" s="41" t="n"/>
      <c r="F14" s="41" t="n"/>
      <c r="G14" s="41" t="n"/>
      <c r="H14" s="41" t="n"/>
      <c r="I14" s="41" t="n"/>
      <c r="J14" s="42" t="n"/>
      <c r="K14" s="8" t="inlineStr">
        <is>
          <t>지시자</t>
        </is>
      </c>
    </row>
    <row r="15" ht="40.5" customHeight="1" s="49">
      <c r="B15" s="112" t="n"/>
      <c r="C15" s="111" t="inlineStr">
        <is>
          <t>2. 숨고 서비스 등록 완료 및 문의·성과 관리</t>
        </is>
      </c>
      <c r="D15" s="41" t="n"/>
      <c r="E15" s="41" t="n"/>
      <c r="F15" s="41" t="n"/>
      <c r="G15" s="41" t="n"/>
      <c r="H15" s="41" t="n"/>
      <c r="I15" s="41" t="n"/>
      <c r="J15" s="42" t="n"/>
      <c r="K15" s="8" t="n"/>
    </row>
    <row r="16" ht="40.5" customHeight="1" s="49">
      <c r="B16" s="112" t="n"/>
      <c r="C16" s="111" t="inlineStr">
        <is>
          <t>3. 네이버 플레이스 광고 정상작동 확인·데이터 기록·검색어 분석</t>
        </is>
      </c>
      <c r="D16" s="41" t="n"/>
      <c r="E16" s="41" t="n"/>
      <c r="F16" s="41" t="n"/>
      <c r="G16" s="41" t="n"/>
      <c r="H16" s="41" t="n"/>
      <c r="I16" s="41" t="n"/>
      <c r="J16" s="42" t="n"/>
      <c r="K16" s="8" t="n"/>
    </row>
    <row r="17" ht="40.5" customHeight="1" s="49">
      <c r="B17" s="112" t="n"/>
      <c r="C17" s="111" t="inlineStr">
        <is>
          <t>4. 구글 드라이브 사진·서류 현황 파악 및 건물별 정리·문서화</t>
        </is>
      </c>
      <c r="D17" s="41" t="n"/>
      <c r="E17" s="41" t="n"/>
      <c r="F17" s="41" t="n"/>
      <c r="G17" s="41" t="n"/>
      <c r="H17" s="41" t="n"/>
      <c r="I17" s="41" t="n"/>
      <c r="J17" s="42" t="n"/>
      <c r="K17" s="8" t="n"/>
    </row>
    <row r="18" ht="40.5" customHeight="1" s="49">
      <c r="B18" s="112" t="n"/>
      <c r="C18" s="111" t="inlineStr">
        <is>
          <t>5. 당근 비즈프로필 최신화 및 게시물·문의 관리</t>
        </is>
      </c>
      <c r="D18" s="41" t="n"/>
      <c r="E18" s="41" t="n"/>
      <c r="F18" s="41" t="n"/>
      <c r="G18" s="41" t="n"/>
      <c r="H18" s="41" t="n"/>
      <c r="I18" s="41" t="n"/>
      <c r="J18" s="42" t="n"/>
      <c r="K18" s="8" t="n"/>
    </row>
    <row r="19" ht="40.5" customHeight="1" s="49">
      <c r="B19" s="112" t="n"/>
      <c r="C19" s="113" t="inlineStr">
        <is>
          <t>6. 카카오톡 채널(비즈니스 파트너) 최신화 및 문의·성과 관리</t>
        </is>
      </c>
      <c r="D19" s="41" t="n"/>
      <c r="E19" s="41" t="n"/>
      <c r="F19" s="41" t="n"/>
      <c r="G19" s="41" t="n"/>
      <c r="H19" s="41" t="n"/>
      <c r="I19" s="41" t="n"/>
      <c r="J19" s="42" t="n"/>
      <c r="K19" s="8" t="n"/>
    </row>
    <row r="20" ht="39.75" customHeight="1" s="49">
      <c r="B20" s="112" t="n"/>
      <c r="C20" s="111" t="inlineStr">
        <is>
          <t>공통: 각 채널의 문의·견적·계약을 숫자로 기록하고 매주 금요일 성과 보고</t>
        </is>
      </c>
      <c r="D20" s="41" t="n"/>
      <c r="E20" s="41" t="n"/>
      <c r="F20" s="41" t="n"/>
      <c r="G20" s="41" t="n"/>
      <c r="H20" s="41" t="n"/>
      <c r="I20" s="41" t="n"/>
      <c r="J20" s="42" t="n"/>
      <c r="K20" s="8" t="n"/>
    </row>
    <row r="21" ht="33.75" customHeight="1" s="49">
      <c r="B21" s="112" t="n"/>
      <c r="C21" s="113" t="n"/>
      <c r="D21" s="41" t="n"/>
      <c r="E21" s="41" t="n"/>
      <c r="F21" s="41" t="n"/>
      <c r="G21" s="41" t="n"/>
      <c r="H21" s="41" t="n"/>
      <c r="I21" s="41" t="n"/>
      <c r="J21" s="42" t="n"/>
      <c r="K21" s="8" t="n"/>
    </row>
    <row r="22" ht="108" customHeight="1" s="49">
      <c r="B22" s="106" t="inlineStr">
        <is>
          <t>제외 범위</t>
        </is>
      </c>
      <c r="C22" s="105" t="inlineStr">
        <is>
          <t>대표 확인 후에만 진행 (임의 진행 금지):
· 가격 변경 / 광고 예산·키워드 추가·삭제 변경
· 외부 공개·공유 (계약서·신분정보·연락처 등)
· 원본 파일 삭제·수정 (중복 파일도 바로 삭제하지 말고 목록 보고)
· 부정 리뷰 답변 / 채널 광고성 메시지(친구 대상) 발송
· 플레이스·카카오톡 기본정보가 실제 운영과 다를 때의 수정</t>
        </is>
      </c>
      <c r="D22" s="41" t="n"/>
      <c r="E22" s="41" t="n"/>
      <c r="F22" s="41" t="n"/>
      <c r="G22" s="41" t="n"/>
      <c r="H22" s="41" t="n"/>
      <c r="I22" s="41" t="n"/>
      <c r="J22" s="42" t="n"/>
      <c r="K22" s="8" t="inlineStr">
        <is>
          <t>지시자</t>
        </is>
      </c>
    </row>
    <row r="23" ht="108" customHeight="1" s="49">
      <c r="B23" s="45" t="inlineStr">
        <is>
          <t>전제 조건</t>
        </is>
      </c>
      <c r="C23" s="105" t="inlineStr">
        <is>
          <t>· 우중 담당자는 게시·정리·기록·분석을 담당하고, 판단이 필요한 변경은 대표 확인 후 진행합니다
· 모든 채널의 핵심 산출은 '문의·견적·계약 수와 금액'을 숫자로 남기는 것입니다
· 개인정보 포함 자료·계약서는 외부 공유 금지, 공유 권한을 먼저 확인합니다
· 구글 드라이브는 원본을 옮기거나 삭제하기 전에 정리안을 먼저 보고·승인받고, 중요한 원본은 사본을 만든 뒤 작업합니다
· 확인되지 않은 정보는 추측하지 말고 '확인 필요'로 표시합니다
· 세부 실행은 매일 확인 업무 → 즉시(1순위) → 첫 주(2순위) → 매주 반복(3순위) 순으로 진행합니다</t>
        </is>
      </c>
      <c r="D23" s="41" t="n"/>
      <c r="E23" s="41" t="n"/>
      <c r="F23" s="41" t="n"/>
      <c r="G23" s="41" t="n"/>
      <c r="H23" s="41" t="n"/>
      <c r="I23" s="41" t="n"/>
      <c r="J23" s="42" t="n"/>
      <c r="K23" s="8" t="inlineStr">
        <is>
          <t>지시자</t>
        </is>
      </c>
    </row>
    <row r="24" ht="108" customHeight="1" s="49">
      <c r="B24" s="45" t="inlineStr">
        <is>
          <t>범위 변경</t>
        </is>
      </c>
      <c r="C24" s="102" t="inlineStr">
        <is>
          <t>진행 중 대표 판단이 필요하거나 범위를 벗어나는 사항이 생기면, 화면 캡처·상황을 정리해 대표에게 바로 보고 후 진행합니다.</t>
        </is>
      </c>
      <c r="D24" s="41" t="n"/>
      <c r="E24" s="41" t="n"/>
      <c r="F24" s="41" t="n"/>
      <c r="G24" s="41" t="n"/>
      <c r="H24" s="41" t="n"/>
      <c r="I24" s="41" t="n"/>
      <c r="J24" s="42" t="n"/>
      <c r="K24" s="8" t="inlineStr">
        <is>
          <t>대표</t>
        </is>
      </c>
    </row>
    <row r="25" ht="15" customHeight="1" s="49"/>
    <row r="26" ht="16.5" customHeight="1" s="49">
      <c r="B26" s="90" t="inlineStr">
        <is>
          <t>3. 지시 업무  —  완료기준·산출물·가중치가 비면 지시 성립하지 않음</t>
        </is>
      </c>
      <c r="C26" s="64" t="n"/>
      <c r="D26" s="64" t="n"/>
      <c r="E26" s="64" t="n"/>
      <c r="F26" s="64" t="n"/>
      <c r="G26" s="64" t="n"/>
      <c r="H26" s="64" t="n"/>
      <c r="I26" s="64" t="n"/>
      <c r="J26" s="64" t="n"/>
      <c r="K26" s="64" t="n"/>
    </row>
    <row r="27" ht="24" customHeight="1" s="49">
      <c r="B27" s="13" t="inlineStr">
        <is>
          <t>No</t>
        </is>
      </c>
      <c r="C27" s="46" t="inlineStr">
        <is>
          <t>업무명</t>
        </is>
      </c>
      <c r="D27" s="46" t="inlineStr">
        <is>
          <t>업무 목적 및 주요 내용</t>
        </is>
      </c>
      <c r="E27" s="46" t="inlineStr">
        <is>
          <t>완료기준 (측정 가능하게 — 무엇이 되면 끝인가)</t>
        </is>
      </c>
      <c r="F27" s="46" t="inlineStr">
        <is>
          <t>제출물</t>
        </is>
      </c>
      <c r="G27" s="46" t="inlineStr">
        <is>
          <t>제출 위치</t>
        </is>
      </c>
      <c r="H27" s="46" t="inlineStr">
        <is>
          <t>마감</t>
        </is>
      </c>
      <c r="I27" s="46" t="inlineStr">
        <is>
          <t>우선
순위</t>
        </is>
      </c>
      <c r="J27" s="46" t="inlineStr">
        <is>
          <t>예상
소요(h)</t>
        </is>
      </c>
      <c r="K27" s="46" t="inlineStr">
        <is>
          <t>가중치
(%)</t>
        </is>
      </c>
    </row>
    <row r="28" ht="105" customHeight="1" s="49">
      <c r="B28" s="17" t="n">
        <v>1</v>
      </c>
      <c r="C28" s="47" t="inlineStr">
        <is>
          <t>네이버 블로그 인수인계 및 운영</t>
        </is>
      </c>
      <c r="D28" s="47" t="inlineStr">
        <is>
          <t>GitHub에 정리된 인수인계 자료를 숙지하고, 기존 글을 정리하며, 신규 포스팅과 성과를 관리합니다.</t>
        </is>
      </c>
      <c r="E28" s="1" t="inlineStr">
        <is>
          <t>① GitHub 블로그 인수인계 자료 전체를 읽고 운영목적·작성기준·금지사항·사진기준·제목/태그/카테고리 기준을 숙지하고, 이해 안 되는 점은 질문 목록으로 정리합니다.
② 전체 게시글 목록을 작성하고, 잘못된 분류·낡은 정보·깨진 사진/링크·중복 글을 찾아 [즉시수정 / 추후보완 / 유지 / 비공개·삭제검토]로 분류합니다.
③ 신규 포스팅 관리표(작성일·발행일·담당자·제목·핵심/보조 키워드·지역·대상고객·사진·링크·상태·조회수·유입검색어·문의여부)를 만들고 진행상태를 통일합니다.
④ 매주 발행 글 수·전체/글별 조회수·유입 검색어·문의 발생 글·다음 주 주제를 확인합니다.</t>
        </is>
      </c>
      <c r="F28" s="47" t="inlineStr">
        <is>
          <t>01_황우중_네이버블로그_운영관리_W31_v1.xlsx</t>
        </is>
      </c>
      <c r="G28" s="6" t="inlineStr">
        <is>
          <t>브링 구글 드라이브</t>
        </is>
      </c>
      <c r="H28" s="107" t="inlineStr">
        <is>
          <t>07-31(금) 17:00</t>
        </is>
      </c>
      <c r="I28" s="47" t="inlineStr">
        <is>
          <t>높음</t>
        </is>
      </c>
      <c r="J28" s="114" t="n">
        <v>8</v>
      </c>
      <c r="K28" s="19" t="n">
        <v>0.18</v>
      </c>
    </row>
    <row r="29" ht="123" customHeight="1" s="49">
      <c r="B29" s="17" t="n">
        <v>2</v>
      </c>
      <c r="C29" s="47" t="inlineStr">
        <is>
          <t>숨고 서비스 등록 및 관리</t>
        </is>
      </c>
      <c r="D29" s="47" t="inlineStr">
        <is>
          <t>미완료 서비스 등록을 완료하고, 문의와 성과를 표로 관리합니다.</t>
        </is>
      </c>
      <c r="E29" s="1" t="inlineStr">
        <is>
          <t>① 등록 서비스 현황을 점검하고 미완료 서비스·빠진 정보를 확인합니다.
② 미완료 서비스를 서비스명·소개·지역·작업범위·가격(산정방식)·상담절차·견적방식·작업사진·FAQ로 준비해 등록을 완료합니다.
③ 숨고 문의 관리표(날짜·지역·요청서비스·건물종류·희망일정·예상견적·견적발송·상담·계약여부·계약금액·실패이유·다음연락일)를 만들고 진행상태를 통일합니다.
④ 매주 문의·견적·상담·계약·계약금액·전환율·사용비용·계약 실패 이유를 정리합니다.</t>
        </is>
      </c>
      <c r="F29" s="47" t="inlineStr">
        <is>
          <t>02_황우중_숨고_서비스관리_W31_v1.xlsx</t>
        </is>
      </c>
      <c r="G29" s="6" t="inlineStr">
        <is>
          <t>브링 구글 드라이브</t>
        </is>
      </c>
      <c r="H29" s="107" t="inlineStr">
        <is>
          <t>07-31(금) 17:00</t>
        </is>
      </c>
      <c r="I29" s="47" t="inlineStr">
        <is>
          <t>높음</t>
        </is>
      </c>
      <c r="J29" s="114" t="n">
        <v>6</v>
      </c>
      <c r="K29" s="19" t="n">
        <v>0.18</v>
      </c>
    </row>
    <row r="30" ht="84" customHeight="1" s="49">
      <c r="B30" s="17" t="n">
        <v>3</v>
      </c>
      <c r="C30" s="47" t="inlineStr">
        <is>
          <t>네이버 플레이스 광고 확인 및 데이터 분석</t>
        </is>
      </c>
      <c r="D30" s="47" t="inlineStr">
        <is>
          <t>광고가 켜져 있는지만이 아니라, 광고비가 실제 문의·계약으로 이어지는지 매일 확인·기록·분석합니다. (가장 우선)</t>
        </is>
      </c>
      <c r="E30" s="1" t="inlineStr">
        <is>
          <t>① 플레이스 기본정보(업체명·주소·연락처·영업시간·서비스·사진·가격·톡톡 등)를 점검합니다(실제 운영과 다르면 수정 전 대표 확인).
② 평일 매일 광고 정상 노출·중단·잔액·예산 소진·키워드 비용 쏠림·문의·리뷰를 확인하고, 이상 시 캡처해 즉시 보고합니다.
③ 광고 데이터 기록표(주 3회 이상: 광고비·노출·클릭·클릭률·CPC·전화클릭·톡톡·길찾기·저장·문의·견적·계약·계약금액)를 만들고, 문의당 광고비·계약 전환율·계약당 광고비를 계산합니다.
④ 매주 검색어·키워드 성과(문의·계약으로 이어진 검색어 / 비용만 든 검색어 / 제외 필요)를 분석하고 문의 유입경로를 확인합니다. 키워드·예산 변경은 분석 보고 후 진행합니다.</t>
        </is>
      </c>
      <c r="F30" s="47" t="inlineStr">
        <is>
          <t>03_황우중_플레이스광고_데이터분석_W31_v1.xlsx</t>
        </is>
      </c>
      <c r="G30" s="6" t="inlineStr">
        <is>
          <t>브링 구글 드라이브</t>
        </is>
      </c>
      <c r="H30" s="107" t="inlineStr">
        <is>
          <t>07-31(금) 17:00</t>
        </is>
      </c>
      <c r="I30" s="47" t="inlineStr">
        <is>
          <t>최우선</t>
        </is>
      </c>
      <c r="J30" s="114" t="n">
        <v>8</v>
      </c>
      <c r="K30" s="19" t="n">
        <v>0.22</v>
      </c>
    </row>
    <row r="31" ht="90" customHeight="1" s="49">
      <c r="B31" s="17" t="n">
        <v>4</v>
      </c>
      <c r="C31" s="47" t="inlineStr">
        <is>
          <t>구글 드라이브 사진·서류 정리 및 문서화</t>
        </is>
      </c>
      <c r="D31" s="47" t="inlineStr">
        <is>
          <t>원본을 옮기거나 지우지 말고 전체 현황을 먼저 파악한 뒤, 정리안을 보고·승인받아 건물별로 정리·문서화합니다.</t>
        </is>
      </c>
      <c r="E31" s="1" t="inlineStr">
        <is>
          <t>① 전체 폴더·파일 현황을 파악합니다(폴더 목록·파일 수·중복·미분류·열리지 않는 파일·개인정보 포함 파일).
② 건물별 권장 폴더체계와 파일명 규칙 정리안을 먼저 보고해 승인받습니다(실제 이동 전 승인 필수).
③ 건물별 기본정보 문서를 작성합니다(건물명·주소·규모·고객·연락처·계약상태·서비스·견적/계약금액·작업주기·서류/사진 링크·특이사항 등, 미확인은 '확인 필요' 표기).
④ 완료 결과물(전체 파일목록·건물별 자료목록·누락서류·중복·미분류·개인정보 목록·건물 문서·정리 전후 변경내역)을 제출합니다.</t>
        </is>
      </c>
      <c r="F31" s="47" t="inlineStr">
        <is>
          <t>04_황우중_구글드라이브_정리문서화_W31_v1.xlsx</t>
        </is>
      </c>
      <c r="G31" s="108" t="inlineStr">
        <is>
          <t>브링 구글 드라이브</t>
        </is>
      </c>
      <c r="H31" s="107" t="inlineStr">
        <is>
          <t>07-31(금) 17:00</t>
        </is>
      </c>
      <c r="I31" s="47" t="inlineStr">
        <is>
          <t>보통</t>
        </is>
      </c>
      <c r="J31" s="114" t="n">
        <v>7</v>
      </c>
      <c r="K31" s="19" t="n">
        <v>0.18</v>
      </c>
    </row>
    <row r="32" ht="69" customHeight="1" s="49">
      <c r="B32" s="17" t="n">
        <v>5</v>
      </c>
      <c r="C32" s="47" t="inlineStr">
        <is>
          <t>당근 비즈프로필 최신화 및 관리</t>
        </is>
      </c>
      <c r="D32" s="47" t="inlineStr">
        <is>
          <t>비즈프로필 기본정보를 최신화하고, 게시물과 문의를 관리합니다.</t>
        </is>
      </c>
      <c r="E32" s="1" t="inlineStr">
        <is>
          <t>① 기본정보(업체명·대표이미지·소개·연락처·영업시간·지역·서비스·가격·링크·오래된 문구)를 점검·최신화합니다.
② 기존 게시물을 [유지 / 내용수정 / 사진교체 / 재게시 / 숨김·삭제검토]로 분류합니다.
③ 최신 콘텐츠(회사소개·서비스·활동지역·작업 전후 사진·FAQ·상담방법)를 등록하고, 당근 문의 관리표를 작성합니다.
④ 매주 게시물 수·게시물/프로필 조회·관심·채팅/전화 문의·견적·계약·반응 좋은 게시물을 확인합니다.</t>
        </is>
      </c>
      <c r="F32" s="47" t="inlineStr">
        <is>
          <t>05_황우중_당근_비즈프로필_W31_v1.xlsx</t>
        </is>
      </c>
      <c r="G32" s="108" t="inlineStr">
        <is>
          <t>브링 구글 드라이브</t>
        </is>
      </c>
      <c r="H32" s="107" t="inlineStr">
        <is>
          <t>07-31(금) 17:00</t>
        </is>
      </c>
      <c r="I32" s="47" t="inlineStr">
        <is>
          <t>보통</t>
        </is>
      </c>
      <c r="J32" s="114" t="n">
        <v>5</v>
      </c>
      <c r="K32" s="19" t="n">
        <v>0.12</v>
      </c>
    </row>
    <row r="33" ht="90" customHeight="1" s="49">
      <c r="B33" s="17" t="n"/>
      <c r="C33" s="47" t="inlineStr">
        <is>
          <t>카카오톡 채널(비즈니스 파트너) 최신화 및 관리</t>
        </is>
      </c>
      <c r="D33" s="47" t="inlineStr">
        <is>
          <t>카카오톡 채널(비즈니스 파트너) 기본정보를 최신화하고, 채팅 문의와 성과를 관리합니다.</t>
        </is>
      </c>
      <c r="E33" s="1" t="inlineStr">
        <is>
          <t>① 채널 기본정보(채널명·프로필/커버·소개·연락처·영업시간·제공 서비스·홈 노출·링크)를 점검·최신화합니다(실제 운영과 다르면 수정 전 대표 확인).
② 채널 홈 게시(소식)·안내 문구 현황을 확인하고 낡은 가격·연락처·저품질 사진·중복을 정리 대상으로 분류합니다.
③ 카카오톡 채널 문의(채팅) 관리표(날짜·지역·요청서비스·건물종류·요청사항·답변·견적·계약·계약금액·실패이유·다음연락일)를 만들고 응대 상태를 통일합니다.
④ 매주 채널 친구 수·유입·채팅 문의·견적·계약·반응을 확인합니다. 친구 대상 광고성 메시지 발송·가격 변경은 대표 확인 후 진행합니다.</t>
        </is>
      </c>
      <c r="F33" s="47" t="inlineStr">
        <is>
          <t>06_황우중_카카오톡채널_관리_W31_v1.xlsx</t>
        </is>
      </c>
      <c r="G33" s="6" t="inlineStr">
        <is>
          <t>브링 구글 드라이브</t>
        </is>
      </c>
      <c r="H33" s="107" t="inlineStr">
        <is>
          <t>07-31(금) 17:00</t>
        </is>
      </c>
      <c r="I33" s="47" t="inlineStr">
        <is>
          <t>보통</t>
        </is>
      </c>
      <c r="J33" s="114" t="n">
        <v>5</v>
      </c>
      <c r="K33" s="19" t="n">
        <v>0.12</v>
      </c>
    </row>
    <row r="34" ht="69" customHeight="1" s="49">
      <c r="B34" s="45" t="inlineStr">
        <is>
          <t>합계</t>
        </is>
      </c>
      <c r="C34" s="51" t="n"/>
      <c r="D34" s="41" t="n"/>
      <c r="E34" s="41" t="n"/>
      <c r="F34" s="41" t="n"/>
      <c r="G34" s="41" t="n"/>
      <c r="H34" s="41" t="n"/>
      <c r="I34" s="42" t="n"/>
      <c r="J34" s="115">
        <f>SUM(J28:J33)</f>
        <v/>
      </c>
      <c r="K34" s="21">
        <f>SUM(K28:K33)</f>
        <v/>
      </c>
    </row>
    <row r="35" ht="24" customHeight="1" s="49">
      <c r="B35" s="45" t="inlineStr">
        <is>
          <t>발행 검증</t>
        </is>
      </c>
      <c r="C35" s="116">
        <f>IF(COUNTA(C28:C33)=0,"업무 미입력",IF(COUNTA(E28:E33)&lt;COUNTA(C28:C33),"발행 불가 — 완료기준 누락 업무 있음",IF(COUNTA(F28:F33)&lt;COUNTA(C28:C33),"발행 불가 — 산출물 누락 업무 있음",IF(SUM(K28:K33)&lt;&gt;1,"발행 불가 — 가중치 합계 "&amp;TEXT(SUM(K28:K33),"0%")&amp;" (100% 필요)","발행 가능 — 완료기준·산출물·가중치 충족"))))</f>
        <v/>
      </c>
      <c r="D35" s="41" t="n"/>
      <c r="E35" s="41" t="n"/>
      <c r="F35" s="41" t="n"/>
      <c r="G35" s="41" t="n"/>
      <c r="H35" s="41" t="n"/>
      <c r="I35" s="41" t="n"/>
      <c r="J35" s="41" t="n"/>
      <c r="K35" s="42" t="n"/>
    </row>
    <row r="36" ht="24" customHeight="1" s="49"/>
    <row r="37" ht="24" customHeight="1" s="49">
      <c r="B37" s="89" t="n"/>
    </row>
    <row r="38" ht="18" customHeight="1" s="49">
      <c r="B38" s="89" t="inlineStr">
        <is>
          <t>담당자 접수확인  —  월요일 12:00까지 담당자 직접 작성 (미작성 = 업무 미이해로 간주, 재지시)</t>
        </is>
      </c>
      <c r="C38" s="64" t="n"/>
      <c r="D38" s="64" t="n"/>
      <c r="E38" s="64" t="n"/>
      <c r="F38" s="64" t="n"/>
      <c r="G38" s="64" t="n"/>
      <c r="H38" s="64" t="n"/>
      <c r="I38" s="64" t="n"/>
      <c r="J38" s="64" t="n"/>
      <c r="K38" s="64" t="n"/>
    </row>
    <row r="39" ht="36" customHeight="1" s="49">
      <c r="B39" s="45" t="inlineStr">
        <is>
          <t>내가 이해한 업무
(본인 언어로 재작성)</t>
        </is>
      </c>
      <c r="C39" s="117" t="n"/>
      <c r="D39" s="41" t="n"/>
      <c r="E39" s="41" t="n"/>
      <c r="F39" s="41" t="n"/>
      <c r="G39" s="41" t="n"/>
      <c r="H39" s="41" t="n"/>
      <c r="I39" s="41" t="n"/>
      <c r="J39" s="41" t="n"/>
      <c r="K39" s="42" t="n"/>
    </row>
    <row r="40" ht="19.5" customHeight="1" s="49">
      <c r="B40" s="45" t="inlineStr">
        <is>
          <t>완료기준 재확인
(무엇이 되면 끝인가)</t>
        </is>
      </c>
      <c r="C40" s="118" t="n"/>
      <c r="D40" s="41" t="n"/>
      <c r="E40" s="41" t="n"/>
      <c r="F40" s="41" t="n"/>
      <c r="G40" s="41" t="n"/>
      <c r="H40" s="41" t="n"/>
      <c r="I40" s="41" t="n"/>
      <c r="J40" s="41" t="n"/>
      <c r="K40" s="42" t="n"/>
    </row>
    <row r="41" ht="24" customHeight="1" s="49">
      <c r="B41" s="45" t="inlineStr">
        <is>
          <t>예상 리스크
(막힐 것 같은 지점)</t>
        </is>
      </c>
      <c r="C41" s="43" t="n"/>
      <c r="D41" s="41" t="n"/>
      <c r="E41" s="41" t="n"/>
      <c r="F41" s="41" t="n"/>
      <c r="G41" s="41" t="n"/>
      <c r="H41" s="41" t="n"/>
      <c r="I41" s="41" t="n"/>
      <c r="J41" s="41" t="n"/>
      <c r="K41" s="42" t="n"/>
    </row>
    <row r="42" ht="24" customHeight="1" s="49">
      <c r="B42" s="45" t="inlineStr">
        <is>
          <t>필요한 지원·의사결정</t>
        </is>
      </c>
      <c r="C42" s="43" t="n"/>
      <c r="D42" s="41" t="n"/>
      <c r="E42" s="41" t="n"/>
      <c r="F42" s="41" t="n"/>
      <c r="G42" s="41" t="n"/>
      <c r="H42" s="41" t="n"/>
      <c r="I42" s="41" t="n"/>
      <c r="J42" s="41" t="n"/>
      <c r="K42" s="42" t="n"/>
    </row>
    <row r="43" ht="24" customHeight="1" s="49">
      <c r="B43" s="45" t="inlineStr">
        <is>
          <t>실행 계획 (요일 배분)</t>
        </is>
      </c>
      <c r="C43" s="43" t="n"/>
      <c r="D43" s="41" t="n"/>
      <c r="E43" s="41" t="n"/>
      <c r="F43" s="41" t="n"/>
      <c r="G43" s="41" t="n"/>
      <c r="H43" s="41" t="n"/>
      <c r="I43" s="41" t="n"/>
      <c r="J43" s="41" t="n"/>
      <c r="K43" s="42" t="n"/>
    </row>
    <row r="44" ht="24" customHeight="1" s="49">
      <c r="B44" s="45" t="inlineStr">
        <is>
          <t>접수 확인 일시 / 서명</t>
        </is>
      </c>
      <c r="C44" s="47" t="n"/>
      <c r="D44" s="41" t="n"/>
      <c r="E44" s="41" t="n"/>
      <c r="F44" s="41" t="n"/>
      <c r="G44" s="41" t="n"/>
      <c r="H44" s="41" t="n"/>
      <c r="I44" s="41" t="n"/>
      <c r="J44" s="41" t="n"/>
      <c r="K44" s="42" t="n"/>
    </row>
    <row r="45" ht="24" customHeight="1" s="49">
      <c r="B45" s="4" t="n"/>
    </row>
    <row r="46" ht="24" customHeight="1" s="49">
      <c r="B46" s="4" t="inlineStr">
        <is>
          <t>결   재</t>
        </is>
      </c>
      <c r="C46" s="41" t="n"/>
      <c r="D46" s="41" t="n"/>
      <c r="E46" s="41" t="n"/>
      <c r="F46" s="41" t="n"/>
      <c r="G46" s="41" t="n"/>
      <c r="H46" s="41" t="n"/>
      <c r="I46" s="41" t="n"/>
      <c r="J46" s="41" t="n"/>
      <c r="K46" s="42" t="n"/>
    </row>
    <row r="47" ht="24" customHeight="1" s="49">
      <c r="B47" s="45" t="inlineStr">
        <is>
          <t>구분</t>
        </is>
      </c>
      <c r="C47" s="45" t="inlineStr">
        <is>
          <t>작성 (지시자)</t>
        </is>
      </c>
      <c r="D47" s="42" t="n"/>
      <c r="E47" s="45" t="inlineStr">
        <is>
          <t>검토 (검수자)</t>
        </is>
      </c>
      <c r="F47" s="42" t="n"/>
      <c r="G47" s="45" t="inlineStr">
        <is>
          <t>승인 (대표)</t>
        </is>
      </c>
      <c r="H47" s="42" t="n"/>
      <c r="I47" s="45" t="inlineStr">
        <is>
          <t>접수 (담당자)</t>
        </is>
      </c>
      <c r="J47" s="42" t="n"/>
      <c r="K47" s="45" t="inlineStr">
        <is>
          <t>일자</t>
        </is>
      </c>
    </row>
    <row r="48" ht="19.5" customHeight="1" s="49">
      <c r="B48" s="45" t="inlineStr">
        <is>
          <t>서명</t>
        </is>
      </c>
      <c r="C48" s="47" t="inlineStr">
        <is>
          <t>서 창 환</t>
        </is>
      </c>
      <c r="D48" s="42" t="n"/>
      <c r="E48" s="47" t="inlineStr">
        <is>
          <t>서 창 환</t>
        </is>
      </c>
      <c r="F48" s="42" t="n"/>
      <c r="G48" s="47" t="inlineStr">
        <is>
          <t>서 창 환</t>
        </is>
      </c>
      <c r="H48" s="42" t="n"/>
      <c r="I48" s="47" t="inlineStr">
        <is>
          <t>황 우 중</t>
        </is>
      </c>
      <c r="J48" s="42" t="n"/>
      <c r="K48" s="109" t="inlineStr">
        <is>
          <t>2026-07-27</t>
        </is>
      </c>
    </row>
    <row r="49" ht="21.75" customHeight="1" s="49"/>
    <row r="50" ht="21.75" customHeight="1" s="49"/>
    <row r="51" ht="21.75" customHeight="1" s="49"/>
    <row r="52" ht="21.75" customHeight="1" s="49"/>
    <row r="53" ht="21.75" customHeight="1" s="49"/>
    <row r="54" ht="21.75" customHeight="1" s="49"/>
    <row r="55" ht="21.75" customHeight="1" s="49"/>
    <row r="56" ht="21.75" customHeight="1" s="49"/>
    <row r="58" ht="21.75" customHeight="1" s="49"/>
    <row r="59" ht="48" customHeight="1" s="49"/>
    <row r="60" ht="39.75" customHeight="1" s="49"/>
    <row r="61" ht="33.75" customHeight="1" s="49"/>
    <row r="62" ht="33.75" customHeight="1" s="49"/>
    <row r="63" ht="30" customHeight="1" s="49"/>
    <row r="64" ht="21.75" customHeight="1" s="49"/>
    <row r="66" ht="15" customHeight="1" s="49"/>
    <row r="67" ht="59.25" customHeight="1" s="49"/>
    <row r="68" ht="39.75" customHeight="1" s="49"/>
  </sheetData>
  <mergeCells count="39">
    <mergeCell ref="C41:K41"/>
    <mergeCell ref="C10:K10"/>
    <mergeCell ref="C15:J15"/>
    <mergeCell ref="C44:K44"/>
    <mergeCell ref="C24:J24"/>
    <mergeCell ref="C40:K40"/>
    <mergeCell ref="C9:K9"/>
    <mergeCell ref="C14:J14"/>
    <mergeCell ref="E48:F48"/>
    <mergeCell ref="G48:H48"/>
    <mergeCell ref="C43:K43"/>
    <mergeCell ref="C47:D47"/>
    <mergeCell ref="I47:J47"/>
    <mergeCell ref="C20:J20"/>
    <mergeCell ref="B26:K26"/>
    <mergeCell ref="C16:J16"/>
    <mergeCell ref="C34:I34"/>
    <mergeCell ref="B7:K7"/>
    <mergeCell ref="C39:K39"/>
    <mergeCell ref="C22:J22"/>
    <mergeCell ref="C8:K8"/>
    <mergeCell ref="B14:B21"/>
    <mergeCell ref="B46:K46"/>
    <mergeCell ref="C21:J21"/>
    <mergeCell ref="B12:K12"/>
    <mergeCell ref="B2:K2"/>
    <mergeCell ref="C48:D48"/>
    <mergeCell ref="I48:J48"/>
    <mergeCell ref="C23:J23"/>
    <mergeCell ref="C17:J17"/>
    <mergeCell ref="B1:K1"/>
    <mergeCell ref="G47:H47"/>
    <mergeCell ref="C42:K42"/>
    <mergeCell ref="C13:J13"/>
    <mergeCell ref="C19:J19"/>
    <mergeCell ref="C35:K35"/>
    <mergeCell ref="B38:K38"/>
    <mergeCell ref="E47:F47"/>
    <mergeCell ref="C18:J18"/>
  </mergeCells>
  <dataValidations count="1">
    <dataValidation sqref="I28:I33" showDropDown="0" showInputMessage="0" showErrorMessage="0" allowBlank="1" type="list">
      <formula1>"최우선,높음,보통,낮음"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1:L48"/>
  <sheetViews>
    <sheetView showGridLines="0" topLeftCell="A27" zoomScaleNormal="100" workbookViewId="0">
      <selection activeCell="D45" sqref="D45:F45"/>
    </sheetView>
  </sheetViews>
  <sheetFormatPr baseColWidth="8" defaultColWidth="8.7109375" defaultRowHeight="15"/>
  <cols>
    <col width="19.85546875" customWidth="1" style="49" min="3" max="3"/>
    <col width="22" customWidth="1" style="49" min="4" max="4"/>
    <col width="47.85546875" customWidth="1" style="49" min="5" max="5"/>
    <col width="15.5703125" customWidth="1" style="49" min="6" max="6"/>
    <col width="9" customWidth="1" style="49" min="7" max="7"/>
    <col width="12.28515625" customWidth="1" style="49" min="8" max="8"/>
    <col width="9" customWidth="1" style="49" min="9" max="9"/>
    <col width="28" customWidth="1" style="49" min="10" max="10"/>
    <col width="30" customWidth="1" style="49" min="11" max="11"/>
    <col width="26" customWidth="1" style="49" min="12" max="12"/>
  </cols>
  <sheetData>
    <row r="1" ht="33.75" customHeight="1" s="49">
      <c r="C1" s="50" t="inlineStr">
        <is>
          <t>주 간  완 료  보 고 서</t>
        </is>
      </c>
    </row>
    <row r="2">
      <c r="C2" s="67" t="inlineStr">
        <is>
          <t>작성: 담당자  |  제출: 매주 금요일 17:00  |  초록색 셀은 업무지시서에서 자동 연동됨 (수정 금지)</t>
        </is>
      </c>
    </row>
    <row r="4" ht="19.5" customHeight="1" s="49">
      <c r="C4" s="4" t="inlineStr">
        <is>
          <t>문서번호</t>
        </is>
      </c>
      <c r="D4" s="12">
        <f>'01_업무지시서'!C4</f>
        <v/>
      </c>
      <c r="E4" s="4" t="inlineStr">
        <is>
          <t>주차</t>
        </is>
      </c>
      <c r="F4" s="12">
        <f>'01_업무지시서'!E4</f>
        <v/>
      </c>
      <c r="G4" s="4" t="inlineStr">
        <is>
          <t>담당자</t>
        </is>
      </c>
      <c r="H4" s="12">
        <f>'01_업무지시서'!C5</f>
        <v/>
      </c>
      <c r="I4" s="4" t="inlineStr">
        <is>
          <t>대상기간</t>
        </is>
      </c>
      <c r="J4" s="12">
        <f>'01_업무지시서'!G4</f>
        <v/>
      </c>
      <c r="K4" s="4" t="inlineStr">
        <is>
          <t>작성일</t>
        </is>
      </c>
      <c r="L4" s="6" t="n"/>
    </row>
    <row r="5" ht="30" customHeight="1" s="49">
      <c r="C5" s="4" t="inlineStr">
        <is>
          <t>주간 달성률
(가중)</t>
        </is>
      </c>
      <c r="D5" s="26">
        <f>SUMPRODUCT(F12:F17,H12:H17)</f>
        <v/>
      </c>
      <c r="E5" s="4" t="inlineStr">
        <is>
          <t>판정</t>
        </is>
      </c>
      <c r="F5" s="27">
        <f>IF(D5&gt;=1,"완수",IF(D5&gt;=0.9,"정상",IF(D5&gt;=0.7,"주의","경고")))</f>
        <v/>
      </c>
      <c r="G5" s="4" t="inlineStr">
        <is>
          <t>계획 h</t>
        </is>
      </c>
      <c r="H5" s="119">
        <f>SUM('01_업무지시서'!J28:J33)</f>
        <v/>
      </c>
      <c r="I5" s="4" t="inlineStr">
        <is>
          <t>실제 h</t>
        </is>
      </c>
      <c r="J5" s="119">
        <f>SUM(I12:I17)</f>
        <v/>
      </c>
      <c r="K5" s="4" t="inlineStr">
        <is>
          <t>시간 정확도</t>
        </is>
      </c>
      <c r="L5" s="11">
        <f>IFERROR(J5/H5,0)</f>
        <v/>
      </c>
    </row>
    <row r="6" ht="25.5" customHeight="1" s="49">
      <c r="C6" s="45" t="inlineStr">
        <is>
          <t>이번 주 목표
(지시서 연동)</t>
        </is>
      </c>
      <c r="D6" s="68">
        <f>'01_업무지시서'!C9</f>
        <v/>
      </c>
      <c r="E6" s="41" t="n"/>
      <c r="F6" s="41" t="n"/>
      <c r="G6" s="41" t="n"/>
      <c r="H6" s="41" t="n"/>
      <c r="I6" s="41" t="n"/>
      <c r="J6" s="41" t="n"/>
      <c r="K6" s="41" t="n"/>
      <c r="L6" s="42" t="n"/>
    </row>
    <row r="7" ht="25.5" customHeight="1" s="49">
      <c r="C7" s="45" t="inlineStr">
        <is>
          <t>목표 달성 여부
(자기 판정)</t>
        </is>
      </c>
      <c r="D7" s="57" t="inlineStr">
        <is>
          <t>달성 / 부분달성 / 미달 — 그리고 그 이유 한 문장. 변명 없이 사실만.</t>
        </is>
      </c>
      <c r="E7" s="41" t="n"/>
      <c r="F7" s="41" t="n"/>
      <c r="G7" s="41" t="n"/>
      <c r="H7" s="41" t="n"/>
      <c r="I7" s="41" t="n"/>
      <c r="J7" s="41" t="n"/>
      <c r="K7" s="41" t="n"/>
      <c r="L7" s="42" t="n"/>
    </row>
    <row r="9" ht="19.5" customHeight="1" s="49">
      <c r="C9" s="48" t="inlineStr">
        <is>
          <t>1. 지시 업무별 결과  —  증빙 없는 진행률은 0%로 처리됨</t>
        </is>
      </c>
    </row>
    <row r="10" ht="31.5" customHeight="1" s="49">
      <c r="C10" s="13" t="inlineStr">
        <is>
          <t>No</t>
        </is>
      </c>
      <c r="D10" s="46" t="inlineStr">
        <is>
          <t>업무명 (자동)</t>
        </is>
      </c>
      <c r="E10" s="46" t="inlineStr">
        <is>
          <t>완료기준 (자동)</t>
        </is>
      </c>
      <c r="F10" s="46" t="inlineStr">
        <is>
          <t>가중치
(자동)</t>
        </is>
      </c>
      <c r="G10" s="46" t="inlineStr">
        <is>
          <t>상태</t>
        </is>
      </c>
      <c r="H10" s="46" t="inlineStr">
        <is>
          <t>진행률
(%)</t>
        </is>
      </c>
      <c r="I10" s="46" t="inlineStr">
        <is>
          <t>실제
소요(h)</t>
        </is>
      </c>
      <c r="J10" s="46" t="inlineStr">
        <is>
          <t>증빙 (파일명·링크·측정값)</t>
        </is>
      </c>
      <c r="K10" s="46" t="inlineStr">
        <is>
          <t>미완료 원인</t>
        </is>
      </c>
      <c r="L10" s="46" t="inlineStr">
        <is>
          <t>다음 조치</t>
        </is>
      </c>
    </row>
    <row r="11" ht="75.75" customHeight="1" s="49">
      <c r="C11" s="8" t="inlineStr">
        <is>
          <t>예시</t>
        </is>
      </c>
      <c r="D11" s="14" t="inlineStr">
        <is>
          <t>[예시]
창문 모듈 브레드보드 제작</t>
        </is>
      </c>
      <c r="E11" s="8" t="inlineStr">
        <is>
          <t>① 센서 4종 1분 주기 수집
② 24h 무중단 성공률 98%↑
③ 센서ID·보정값 기록</t>
        </is>
      </c>
      <c r="F11" s="16" t="n">
        <v>0.4</v>
      </c>
      <c r="G11" s="8" t="inlineStr">
        <is>
          <t>진행중</t>
        </is>
      </c>
      <c r="H11" s="16" t="n">
        <v>0.7</v>
      </c>
      <c r="I11" s="120" t="n">
        <v>14</v>
      </c>
      <c r="J11" s="14" t="inlineStr">
        <is>
          <t>drive/HW/W29/log_0716.csv
(성공률 94.2%, 스크린샷 첨부)</t>
        </is>
      </c>
      <c r="K11" s="8" t="inlineStr">
        <is>
          <t>누수센서 오탐 3회 — 접지 불량 추정.
재배선 전까지 98% 도달 불가.</t>
        </is>
      </c>
      <c r="L11" s="8" t="inlineStr">
        <is>
          <t>월요일 재배선 후 24h 재시험 (4h 소요 예상)</t>
        </is>
      </c>
    </row>
    <row r="12" ht="108" customHeight="1" s="49">
      <c r="C12" s="17" t="n">
        <v>1</v>
      </c>
      <c r="D12" s="40">
        <f>IF('01_업무지시서'!C28="","",'01_업무지시서'!C28)</f>
        <v/>
      </c>
      <c r="E12" s="40">
        <f>IF('01_업무지시서'!E28="","",'01_업무지시서'!E28)</f>
        <v/>
      </c>
      <c r="F12" s="11">
        <f>IF('01_업무지시서'!K28="",0,'01_업무지시서'!K28)</f>
        <v/>
      </c>
      <c r="G12" s="47" t="n"/>
      <c r="H12" s="19" t="n"/>
      <c r="I12" s="114" t="n"/>
      <c r="J12" s="47" t="n"/>
      <c r="K12" s="47" t="n"/>
      <c r="L12" s="47" t="n"/>
    </row>
    <row r="13" ht="108" customHeight="1" s="49">
      <c r="C13" s="17" t="n">
        <v>2</v>
      </c>
      <c r="D13" s="40">
        <f>IF('01_업무지시서'!C29="","",'01_업무지시서'!C29)</f>
        <v/>
      </c>
      <c r="E13" s="40">
        <f>IF('01_업무지시서'!E29="","",'01_업무지시서'!E29)</f>
        <v/>
      </c>
      <c r="F13" s="11">
        <f>IF('01_업무지시서'!K29="",0,'01_업무지시서'!K29)</f>
        <v/>
      </c>
      <c r="G13" s="47" t="n"/>
      <c r="H13" s="19" t="n"/>
      <c r="I13" s="114" t="n"/>
      <c r="J13" s="47" t="n"/>
      <c r="K13" s="47" t="n"/>
      <c r="L13" s="47" t="n"/>
    </row>
    <row r="14" ht="108" customHeight="1" s="49">
      <c r="C14" s="17" t="n">
        <v>3</v>
      </c>
      <c r="D14" s="40">
        <f>IF('01_업무지시서'!C30="","",'01_업무지시서'!C30)</f>
        <v/>
      </c>
      <c r="E14" s="40">
        <f>IF('01_업무지시서'!E30="","",'01_업무지시서'!E30)</f>
        <v/>
      </c>
      <c r="F14" s="11">
        <f>IF('01_업무지시서'!K30="",0,'01_업무지시서'!K30)</f>
        <v/>
      </c>
      <c r="G14" s="47" t="n"/>
      <c r="H14" s="19" t="n"/>
      <c r="I14" s="114" t="n"/>
      <c r="J14" s="47" t="n"/>
      <c r="K14" s="47" t="n"/>
      <c r="L14" s="47" t="n"/>
    </row>
    <row r="15" ht="108" customHeight="1" s="49">
      <c r="C15" s="17" t="n">
        <v>4</v>
      </c>
      <c r="D15" s="40">
        <f>IF('01_업무지시서'!C31="","",'01_업무지시서'!C31)</f>
        <v/>
      </c>
      <c r="E15" s="40">
        <f>IF('01_업무지시서'!E31="","",'01_업무지시서'!E31)</f>
        <v/>
      </c>
      <c r="F15" s="11">
        <f>IF('01_업무지시서'!K31="",0,'01_업무지시서'!K31)</f>
        <v/>
      </c>
      <c r="G15" s="47" t="n"/>
      <c r="H15" s="19" t="n"/>
      <c r="I15" s="114" t="n"/>
      <c r="J15" s="47" t="n"/>
      <c r="K15" s="47" t="n"/>
      <c r="L15" s="47" t="n"/>
    </row>
    <row r="16" ht="108" customHeight="1" s="49">
      <c r="C16" s="17" t="n">
        <v>5</v>
      </c>
      <c r="D16" s="40">
        <f>IF('01_업무지시서'!C32="","",'01_업무지시서'!C32)</f>
        <v/>
      </c>
      <c r="E16" s="40">
        <f>IF('01_업무지시서'!E32="","",'01_업무지시서'!E32)</f>
        <v/>
      </c>
      <c r="F16" s="11">
        <f>IF('01_업무지시서'!K32="",0,'01_업무지시서'!K32)</f>
        <v/>
      </c>
      <c r="G16" s="47" t="n"/>
      <c r="H16" s="19" t="n"/>
      <c r="I16" s="114" t="n"/>
      <c r="J16" s="47" t="n"/>
      <c r="K16" s="47" t="n"/>
      <c r="L16" s="47" t="n"/>
    </row>
    <row r="17" ht="27.75" customHeight="1" s="49">
      <c r="C17" s="17" t="n"/>
      <c r="D17" s="40">
        <f>IF('01_업무지시서'!C33="","",'01_업무지시서'!C33)</f>
        <v/>
      </c>
      <c r="E17" s="40">
        <f>IF('01_업무지시서'!E33="","",'01_업무지시서'!E33)</f>
        <v/>
      </c>
      <c r="F17" s="11">
        <f>IF('01_업무지시서'!K33="",0,'01_업무지시서'!K33)</f>
        <v/>
      </c>
      <c r="G17" s="47" t="n"/>
      <c r="H17" s="19" t="n"/>
      <c r="I17" s="114" t="n"/>
      <c r="J17" s="47" t="n"/>
      <c r="K17" s="47" t="n"/>
      <c r="L17" s="47" t="n"/>
    </row>
    <row r="18" ht="15" customHeight="1" s="49">
      <c r="C18" s="45" t="inlineStr">
        <is>
          <t>합계</t>
        </is>
      </c>
      <c r="D18" s="45" t="inlineStr">
        <is>
          <t>가중 달성률 →</t>
        </is>
      </c>
      <c r="E18" s="42" t="n"/>
      <c r="F18" s="21">
        <f>SUM(F12:F17)</f>
        <v/>
      </c>
      <c r="G18" s="28">
        <f>SUMPRODUCT(F12:F17,H12:H17)</f>
        <v/>
      </c>
      <c r="H18" s="29">
        <f>COUNTIF(G12:G17,"완료")</f>
        <v/>
      </c>
      <c r="I18" s="115">
        <f>SUM(I12:I17)</f>
        <v/>
      </c>
      <c r="J18" s="69">
        <f>"완료 "&amp;COUNTIF(G12:G17,"완료")&amp;"건 / 진행중 "&amp;COUNTIF(G12:G17,"진행중")&amp;"건 / 미착수 "&amp;COUNTIF(G12:G17,"미착수")&amp;"건"</f>
        <v/>
      </c>
      <c r="K18" s="41" t="n"/>
      <c r="L18" s="42" t="n"/>
    </row>
    <row r="19" ht="24" customHeight="1" s="49">
      <c r="C19" s="46" t="n"/>
      <c r="D19" s="46" t="n"/>
      <c r="I19" s="46" t="n"/>
      <c r="J19" s="46" t="n"/>
      <c r="L19" s="46" t="n"/>
    </row>
    <row r="20" ht="19.5" customHeight="1" s="49">
      <c r="C20" s="121" t="inlineStr">
        <is>
          <t>2. 자가 검수  —  제출 전 §4 검수기준으로 본인이 먼저 점검</t>
        </is>
      </c>
      <c r="D20" s="64" t="n"/>
      <c r="E20" s="64" t="n"/>
      <c r="F20" s="64" t="n"/>
      <c r="G20" s="64" t="n"/>
      <c r="H20" s="64" t="n"/>
      <c r="I20" s="64" t="n"/>
      <c r="J20" s="64" t="n"/>
      <c r="K20" s="64" t="n"/>
      <c r="L20" s="65" t="n"/>
    </row>
    <row r="21" ht="24" customHeight="1" s="49">
      <c r="C21" s="46" t="inlineStr">
        <is>
          <t>검수 항목 (자동)</t>
        </is>
      </c>
      <c r="D21" s="46" t="inlineStr">
        <is>
          <t>검수 질문 (자동)</t>
        </is>
      </c>
      <c r="E21" s="41" t="n"/>
      <c r="F21" s="41" t="n"/>
      <c r="G21" s="41" t="n"/>
      <c r="H21" s="42" t="n"/>
      <c r="I21" s="46" t="inlineStr">
        <is>
          <t>자가
판정</t>
        </is>
      </c>
      <c r="J21" s="46" t="inlineStr">
        <is>
          <t>미충족 사유·보완 계획</t>
        </is>
      </c>
      <c r="K21" s="42" t="n"/>
      <c r="L21" s="46" t="inlineStr">
        <is>
          <t>검수자
판정</t>
        </is>
      </c>
    </row>
    <row r="22" ht="24" customHeight="1" s="49">
      <c r="C22" s="69" t="n"/>
      <c r="D22" s="55" t="n"/>
      <c r="E22" s="41" t="n"/>
      <c r="F22" s="41" t="n"/>
      <c r="G22" s="41" t="n"/>
      <c r="H22" s="42" t="n"/>
      <c r="I22" s="47" t="n"/>
      <c r="J22" s="44" t="n"/>
      <c r="K22" s="42" t="n"/>
      <c r="L22" s="66" t="n"/>
    </row>
    <row r="23" ht="24" customHeight="1" s="49">
      <c r="C23" s="69" t="n"/>
      <c r="D23" s="55" t="n"/>
      <c r="E23" s="41" t="n"/>
      <c r="F23" s="41" t="n"/>
      <c r="G23" s="41" t="n"/>
      <c r="H23" s="42" t="n"/>
      <c r="I23" s="47" t="n"/>
      <c r="J23" s="44" t="n"/>
      <c r="K23" s="42" t="n"/>
      <c r="L23" s="66" t="n"/>
    </row>
    <row r="24" ht="24" customHeight="1" s="49">
      <c r="C24" s="69" t="n"/>
      <c r="D24" s="55" t="n"/>
      <c r="E24" s="41" t="n"/>
      <c r="F24" s="41" t="n"/>
      <c r="G24" s="41" t="n"/>
      <c r="H24" s="42" t="n"/>
      <c r="I24" s="47" t="n"/>
      <c r="J24" s="44" t="n"/>
      <c r="K24" s="42" t="n"/>
      <c r="L24" s="66" t="n"/>
    </row>
    <row r="25" ht="24" customHeight="1" s="49">
      <c r="C25" s="69" t="n"/>
      <c r="D25" s="55" t="n"/>
      <c r="E25" s="41" t="n"/>
      <c r="F25" s="41" t="n"/>
      <c r="G25" s="41" t="n"/>
      <c r="H25" s="42" t="n"/>
      <c r="I25" s="47" t="n"/>
      <c r="J25" s="44" t="n"/>
      <c r="K25" s="42" t="n"/>
      <c r="L25" s="66" t="n"/>
    </row>
    <row r="26" ht="24" customHeight="1" s="49">
      <c r="C26" s="69" t="n"/>
      <c r="D26" s="55" t="n"/>
      <c r="E26" s="41" t="n"/>
      <c r="F26" s="41" t="n"/>
      <c r="G26" s="41" t="n"/>
      <c r="H26" s="42" t="n"/>
      <c r="I26" s="47" t="n"/>
      <c r="J26" s="44" t="n"/>
      <c r="K26" s="42" t="n"/>
      <c r="L26" s="66" t="n"/>
    </row>
    <row r="27" ht="24" customHeight="1" s="49">
      <c r="C27" s="69" t="n"/>
      <c r="D27" s="55" t="n"/>
      <c r="E27" s="41" t="n"/>
      <c r="F27" s="41" t="n"/>
      <c r="G27" s="41" t="n"/>
      <c r="H27" s="42" t="n"/>
      <c r="I27" s="47" t="n"/>
      <c r="J27" s="44" t="n"/>
      <c r="K27" s="42" t="n"/>
      <c r="L27" s="66" t="n"/>
    </row>
    <row r="28" ht="24" customHeight="1" s="49">
      <c r="C28" s="69" t="n"/>
      <c r="D28" s="55" t="n"/>
      <c r="E28" s="41" t="n"/>
      <c r="F28" s="41" t="n"/>
      <c r="G28" s="41" t="n"/>
      <c r="H28" s="42" t="n"/>
      <c r="I28" s="47" t="n"/>
      <c r="J28" s="44" t="n"/>
      <c r="K28" s="42" t="n"/>
      <c r="L28" s="66" t="n"/>
    </row>
    <row r="29" ht="27.75" customHeight="1" s="49">
      <c r="C29" s="46" t="n"/>
      <c r="D29" s="46" t="n"/>
      <c r="E29" s="46" t="n"/>
      <c r="F29" s="46" t="n"/>
      <c r="G29" s="46" t="n"/>
      <c r="H29" s="46" t="n"/>
      <c r="I29" s="46" t="n"/>
      <c r="J29" s="46" t="n"/>
      <c r="K29" s="46" t="n"/>
      <c r="L29" s="46" t="n"/>
    </row>
    <row r="30" ht="19.5" customHeight="1" s="49">
      <c r="C30" s="121" t="inlineStr">
        <is>
          <t>3. 이슈 및 지원요청  —  대안 없이 문제만 올리는 보고는 반려</t>
        </is>
      </c>
      <c r="D30" s="64" t="n"/>
      <c r="E30" s="64" t="n"/>
      <c r="F30" s="64" t="n"/>
      <c r="G30" s="64" t="n"/>
      <c r="H30" s="64" t="n"/>
      <c r="I30" s="64" t="n"/>
      <c r="J30" s="64" t="n"/>
      <c r="K30" s="64" t="n"/>
      <c r="L30" s="65" t="n"/>
    </row>
    <row r="31" ht="27.75" customHeight="1" s="49">
      <c r="C31" s="46" t="inlineStr">
        <is>
          <t>구분</t>
        </is>
      </c>
      <c r="D31" s="46" t="inlineStr">
        <is>
          <t>이슈 내용</t>
        </is>
      </c>
      <c r="E31" s="46" t="inlineStr">
        <is>
          <t>영향
(일정/비용/품질)</t>
        </is>
      </c>
      <c r="F31" s="46" t="inlineStr">
        <is>
          <t>근본 원인</t>
        </is>
      </c>
      <c r="G31" s="46" t="inlineStr">
        <is>
          <t>대안 1</t>
        </is>
      </c>
      <c r="H31" s="46" t="inlineStr">
        <is>
          <t>대안 2</t>
        </is>
      </c>
      <c r="I31" s="46" t="inlineStr">
        <is>
          <t>권고안</t>
        </is>
      </c>
      <c r="J31" s="46" t="inlineStr">
        <is>
          <t>요청사항</t>
        </is>
      </c>
      <c r="K31" s="46" t="inlineStr">
        <is>
          <t>결정기한</t>
        </is>
      </c>
      <c r="L31" s="46" t="inlineStr">
        <is>
          <t>대표 결정</t>
        </is>
      </c>
    </row>
    <row r="32" ht="36" customHeight="1" s="49">
      <c r="C32" s="6" t="n"/>
      <c r="D32" s="18" t="n"/>
      <c r="E32" s="6" t="n"/>
      <c r="F32" s="18" t="n"/>
      <c r="G32" s="18" t="n"/>
      <c r="H32" s="18" t="n"/>
      <c r="I32" s="18" t="n"/>
      <c r="J32" s="18" t="n"/>
      <c r="K32" s="6" t="n"/>
      <c r="L32" s="66" t="n"/>
    </row>
    <row r="33" ht="36" customHeight="1" s="49">
      <c r="C33" s="6" t="n"/>
      <c r="D33" s="18" t="n"/>
      <c r="E33" s="6" t="n"/>
      <c r="F33" s="18" t="n"/>
      <c r="G33" s="18" t="n"/>
      <c r="H33" s="18" t="n"/>
      <c r="I33" s="18" t="n"/>
      <c r="J33" s="18" t="n"/>
      <c r="K33" s="6" t="n"/>
      <c r="L33" s="66" t="n"/>
    </row>
    <row r="34" ht="36" customHeight="1" s="49">
      <c r="C34" s="6" t="n"/>
      <c r="D34" s="18" t="n"/>
      <c r="E34" s="6" t="n"/>
      <c r="F34" s="18" t="n"/>
      <c r="G34" s="18" t="n"/>
      <c r="H34" s="18" t="n"/>
      <c r="I34" s="18" t="n"/>
      <c r="J34" s="18" t="n"/>
      <c r="K34" s="6" t="n"/>
      <c r="L34" s="66" t="n"/>
    </row>
    <row r="35" ht="27.75" customHeight="1" s="49">
      <c r="C35" s="13" t="n"/>
      <c r="D35" s="46" t="n"/>
      <c r="E35" s="46" t="n"/>
      <c r="F35" s="46" t="n"/>
      <c r="G35" s="46" t="n"/>
      <c r="H35" s="46" t="n"/>
      <c r="I35" s="46" t="n"/>
      <c r="J35" s="46" t="n"/>
      <c r="K35" s="46" t="n"/>
      <c r="L35" s="46" t="n"/>
    </row>
    <row r="36" ht="19.5" customHeight="1" s="49">
      <c r="C36" s="121" t="inlineStr">
        <is>
          <t>4. 다음 주 제안 업무  —  지시를 기다리지 말 것. 본인이 먼저 제안.</t>
        </is>
      </c>
      <c r="D36" s="64" t="n"/>
      <c r="E36" s="64" t="n"/>
      <c r="F36" s="64" t="n"/>
      <c r="G36" s="64" t="n"/>
      <c r="H36" s="64" t="n"/>
      <c r="I36" s="64" t="n"/>
      <c r="J36" s="64" t="n"/>
      <c r="K36" s="64" t="n"/>
      <c r="L36" s="65" t="n"/>
    </row>
    <row r="37" ht="27.75" customHeight="1" s="49">
      <c r="C37" s="13" t="inlineStr">
        <is>
          <t>No</t>
        </is>
      </c>
      <c r="D37" s="46" t="inlineStr">
        <is>
          <t>제안 업무</t>
        </is>
      </c>
      <c r="E37" s="46" t="inlineStr">
        <is>
          <t>왜 해야 하는가</t>
        </is>
      </c>
      <c r="F37" s="46" t="inlineStr">
        <is>
          <t>완료기준(안)</t>
        </is>
      </c>
      <c r="G37" s="46" t="inlineStr">
        <is>
          <t>예상
소요(h)</t>
        </is>
      </c>
      <c r="H37" s="46" t="inlineStr">
        <is>
          <t>우선순위(안)</t>
        </is>
      </c>
      <c r="I37" s="46" t="inlineStr">
        <is>
          <t>선행 조건</t>
        </is>
      </c>
      <c r="J37" s="46" t="inlineStr">
        <is>
          <t>필요 지원</t>
        </is>
      </c>
      <c r="K37" s="46" t="inlineStr">
        <is>
          <t>대표 승인</t>
        </is>
      </c>
      <c r="L37" s="46" t="inlineStr">
        <is>
          <t>비고</t>
        </is>
      </c>
    </row>
    <row r="38" ht="31.5" customHeight="1" s="49">
      <c r="C38" s="22" t="n">
        <v>1</v>
      </c>
      <c r="D38" s="18" t="n"/>
      <c r="E38" s="18" t="n"/>
      <c r="F38" s="18" t="n"/>
      <c r="G38" s="114" t="n"/>
      <c r="H38" s="6" t="n"/>
      <c r="I38" s="18" t="n"/>
      <c r="J38" s="18" t="n"/>
      <c r="K38" s="66" t="n"/>
      <c r="L38" s="6" t="n"/>
    </row>
    <row r="39" ht="31.5" customHeight="1" s="49">
      <c r="C39" s="22" t="n">
        <v>2</v>
      </c>
      <c r="D39" s="18" t="n"/>
      <c r="E39" s="18" t="n"/>
      <c r="F39" s="18" t="n"/>
      <c r="G39" s="114" t="n"/>
      <c r="H39" s="6" t="n"/>
      <c r="I39" s="18" t="n"/>
      <c r="J39" s="18" t="n"/>
      <c r="K39" s="66" t="n"/>
      <c r="L39" s="6" t="n"/>
    </row>
    <row r="40" ht="31.5" customHeight="1" s="49">
      <c r="C40" s="22" t="n">
        <v>3</v>
      </c>
      <c r="D40" s="18" t="n"/>
      <c r="E40" s="18" t="n"/>
      <c r="F40" s="18" t="n"/>
      <c r="G40" s="114" t="n"/>
      <c r="H40" s="6" t="n"/>
      <c r="I40" s="18" t="n"/>
      <c r="J40" s="18" t="n"/>
      <c r="K40" s="66" t="n"/>
      <c r="L40" s="6" t="n"/>
    </row>
    <row r="41" ht="31.5" customHeight="1" s="49">
      <c r="C41" s="22" t="n">
        <v>4</v>
      </c>
      <c r="D41" s="18" t="n"/>
      <c r="E41" s="18" t="n"/>
      <c r="F41" s="18" t="n"/>
      <c r="G41" s="114" t="n"/>
      <c r="H41" s="6" t="n"/>
      <c r="I41" s="18" t="n"/>
      <c r="J41" s="18" t="n"/>
      <c r="K41" s="66" t="n"/>
      <c r="L41" s="6" t="n"/>
    </row>
    <row r="42" ht="25.5" customHeight="1" s="49">
      <c r="C42" s="45" t="n"/>
      <c r="D42" s="43" t="n"/>
      <c r="J42" s="58" t="n"/>
    </row>
    <row r="43" ht="19.5" customHeight="1" s="49">
      <c r="C43" s="48" t="inlineStr">
        <is>
          <t>5. 자기점검 및 대표 검수</t>
        </is>
      </c>
    </row>
    <row r="44" ht="25.5" customHeight="1" s="49">
      <c r="C44" s="45" t="inlineStr">
        <is>
          <t>이번 주 가장 잘한 것</t>
        </is>
      </c>
      <c r="D44" s="43" t="inlineStr">
        <is>
          <t>결과로 증명되는 것 1개만</t>
        </is>
      </c>
      <c r="E44" s="41" t="n"/>
      <c r="F44" s="41" t="n"/>
      <c r="G44" s="41" t="n"/>
      <c r="H44" s="41" t="n"/>
      <c r="I44" s="42" t="n"/>
      <c r="J44" s="58" t="inlineStr">
        <is>
          <t>[대표 검수 의견]</t>
        </is>
      </c>
      <c r="K44" s="59" t="n"/>
      <c r="L44" s="60" t="n"/>
    </row>
    <row r="45" ht="25.5" customHeight="1" s="49">
      <c r="C45" s="45" t="inlineStr">
        <is>
          <t>이번 주 가장 부족한 것</t>
        </is>
      </c>
      <c r="D45" s="43" t="inlineStr">
        <is>
          <t>변명 말고 사실만</t>
        </is>
      </c>
      <c r="E45" s="41" t="n"/>
      <c r="F45" s="41" t="n"/>
      <c r="G45" s="41" t="n"/>
      <c r="H45" s="41" t="n"/>
      <c r="I45" s="42" t="n"/>
      <c r="J45" s="61" t="n"/>
      <c r="L45" s="62" t="n"/>
    </row>
    <row r="46" ht="25.5" customHeight="1" s="49">
      <c r="C46" s="45" t="inlineStr">
        <is>
          <t>다음 주 개선 액션 1개</t>
        </is>
      </c>
      <c r="D46" s="43" t="inlineStr">
        <is>
          <t>실행 가능한 행동으로</t>
        </is>
      </c>
      <c r="E46" s="41" t="n"/>
      <c r="F46" s="41" t="n"/>
      <c r="G46" s="41" t="n"/>
      <c r="H46" s="41" t="n"/>
      <c r="I46" s="42" t="n"/>
      <c r="J46" s="63" t="n"/>
      <c r="K46" s="64" t="n"/>
      <c r="L46" s="65" t="n"/>
    </row>
    <row r="47" ht="33.75" customHeight="1" s="49">
      <c r="C47" s="45" t="n"/>
      <c r="D47" s="47" t="n"/>
      <c r="G47" s="45" t="n"/>
      <c r="H47" s="66" t="n"/>
      <c r="J47" s="45" t="n"/>
      <c r="K47" s="56" t="n"/>
    </row>
    <row r="48" ht="33.75" customHeight="1" s="49">
      <c r="C48" s="45" t="inlineStr">
        <is>
          <t>제출자</t>
        </is>
      </c>
      <c r="D48" s="47" t="n"/>
      <c r="E48" s="41" t="n"/>
      <c r="F48" s="42" t="n"/>
      <c r="G48" s="45" t="inlineStr">
        <is>
          <t>검수자</t>
        </is>
      </c>
      <c r="H48" s="66" t="n"/>
      <c r="I48" s="42" t="n"/>
      <c r="J48" s="45" t="inlineStr">
        <is>
          <t>최종 판정</t>
        </is>
      </c>
      <c r="K48" s="56" t="n"/>
      <c r="L48" s="42" t="n"/>
    </row>
  </sheetData>
  <mergeCells count="34">
    <mergeCell ref="D48:F48"/>
    <mergeCell ref="J28:K28"/>
    <mergeCell ref="D22:H22"/>
    <mergeCell ref="D7:L7"/>
    <mergeCell ref="D21:H21"/>
    <mergeCell ref="J24:K24"/>
    <mergeCell ref="D27:H27"/>
    <mergeCell ref="C30:L30"/>
    <mergeCell ref="J27:K27"/>
    <mergeCell ref="J26:K26"/>
    <mergeCell ref="J18:L18"/>
    <mergeCell ref="J25:K25"/>
    <mergeCell ref="D28:H28"/>
    <mergeCell ref="C20:L20"/>
    <mergeCell ref="D18:E18"/>
    <mergeCell ref="D44:I44"/>
    <mergeCell ref="J22:K22"/>
    <mergeCell ref="C1:L1"/>
    <mergeCell ref="K48:L48"/>
    <mergeCell ref="J21:K21"/>
    <mergeCell ref="D25:H25"/>
    <mergeCell ref="H48:I48"/>
    <mergeCell ref="D46:I46"/>
    <mergeCell ref="C9:L9"/>
    <mergeCell ref="D24:H24"/>
    <mergeCell ref="D45:I45"/>
    <mergeCell ref="D23:H23"/>
    <mergeCell ref="C43:L43"/>
    <mergeCell ref="J44:L46"/>
    <mergeCell ref="J23:K23"/>
    <mergeCell ref="C2:L2"/>
    <mergeCell ref="D6:L6"/>
    <mergeCell ref="C36:L36"/>
    <mergeCell ref="D26:H26"/>
  </mergeCells>
  <dataValidations count="5">
    <dataValidation sqref="I22:I28" showDropDown="0" showInputMessage="0" showErrorMessage="0" allowBlank="1" type="list">
      <formula1>"충족,미충족"</formula1>
    </dataValidation>
    <dataValidation sqref="L22:L28" showDropDown="0" showInputMessage="0" showErrorMessage="0" allowBlank="1" type="list">
      <formula1>"합격,보완,불합격"</formula1>
    </dataValidation>
    <dataValidation sqref="K38:K41 L32:L34" showDropDown="0" showInputMessage="0" showErrorMessage="0" allowBlank="1" type="list">
      <formula1>"승인,보류,반려"</formula1>
    </dataValidation>
    <dataValidation sqref="K48" showDropDown="0" showInputMessage="0" showErrorMessage="0" allowBlank="1" type="list">
      <formula1>"합격,조건부합격,보완요청,불합격"</formula1>
    </dataValidation>
    <dataValidation sqref="G12:G17" showDropDown="0" showInputMessage="0" showErrorMessage="0" allowBlank="1" type="list">
      <formula1>"완료,진행중,미착수,보류,취소"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8"/>
  <sheetViews>
    <sheetView showGridLines="0" zoomScaleNormal="100" workbookViewId="0">
      <selection activeCell="K33" sqref="K33"/>
    </sheetView>
  </sheetViews>
  <sheetFormatPr baseColWidth="8" defaultColWidth="8.7109375" defaultRowHeight="15"/>
  <cols>
    <col width="12" customWidth="1" style="49" min="1" max="1"/>
    <col width="10" customWidth="1" style="49" min="2" max="2"/>
    <col width="7" customWidth="1" style="49" min="3" max="4"/>
    <col width="8" customWidth="1" style="49" min="5" max="7"/>
    <col width="7" customWidth="1" style="49" min="8" max="9"/>
    <col width="9" customWidth="1" style="49" min="10" max="10"/>
    <col width="36" customWidth="1" style="49" min="11" max="11"/>
    <col width="30" customWidth="1" style="49" min="12" max="12"/>
    <col width="7" customWidth="1" style="49" min="13" max="13"/>
  </cols>
  <sheetData>
    <row r="1" ht="25.5" customHeight="1" s="49">
      <c r="A1" s="31" t="inlineStr">
        <is>
          <t>주간 관리대장 (대표용 누적)</t>
        </is>
      </c>
    </row>
    <row r="2">
      <c r="A2" s="3" t="inlineStr">
        <is>
          <t>매주 금요일 검수 후 1행 누적. 2주 연속 '경고'는 업무 재설계 또는 인사 조치 검토 대상.</t>
        </is>
      </c>
    </row>
    <row r="4" ht="30" customHeight="1" s="49">
      <c r="A4" s="46" t="inlineStr">
        <is>
          <t>주차</t>
        </is>
      </c>
      <c r="B4" s="46" t="inlineStr">
        <is>
          <t>담당자</t>
        </is>
      </c>
      <c r="C4" s="46" t="inlineStr">
        <is>
          <t>지시
건수</t>
        </is>
      </c>
      <c r="D4" s="46" t="inlineStr">
        <is>
          <t>완료
건수</t>
        </is>
      </c>
      <c r="E4" s="46" t="inlineStr">
        <is>
          <t>완료율</t>
        </is>
      </c>
      <c r="F4" s="46" t="inlineStr">
        <is>
          <t>가중
달성률</t>
        </is>
      </c>
      <c r="G4" s="46" t="inlineStr">
        <is>
          <t>판정</t>
        </is>
      </c>
      <c r="H4" s="46" t="inlineStr">
        <is>
          <t>계획
h</t>
        </is>
      </c>
      <c r="I4" s="46" t="inlineStr">
        <is>
          <t>실제
h</t>
        </is>
      </c>
      <c r="J4" s="46" t="inlineStr">
        <is>
          <t>시간
정확도</t>
        </is>
      </c>
      <c r="K4" s="46" t="inlineStr">
        <is>
          <t>미완료 핵심 사유</t>
        </is>
      </c>
      <c r="L4" s="46" t="inlineStr">
        <is>
          <t>대표 조치</t>
        </is>
      </c>
      <c r="M4" s="46" t="inlineStr">
        <is>
          <t>누적
경고</t>
        </is>
      </c>
    </row>
    <row r="5" ht="21.75" customHeight="1" s="49">
      <c r="A5" s="6" t="n"/>
      <c r="B5" s="6" t="n"/>
      <c r="C5" s="6" t="n"/>
      <c r="D5" s="6" t="n"/>
      <c r="E5" s="11">
        <f>IFERROR(D5/C5,0)</f>
        <v/>
      </c>
      <c r="F5" s="19" t="n"/>
      <c r="G5" s="12">
        <f>IF(F5="","",IF(F5&gt;=1,"완수",IF(F5&gt;=0.9,"정상",IF(F5&gt;=0.7,"주의","경고"))))</f>
        <v/>
      </c>
      <c r="H5" s="6" t="n"/>
      <c r="I5" s="6" t="n"/>
      <c r="J5" s="11">
        <f>IFERROR(I5/H5,0)</f>
        <v/>
      </c>
      <c r="K5" s="1" t="n"/>
      <c r="L5" s="1" t="n"/>
      <c r="M5" s="12">
        <f>IF(B5="","",COUNTIFS($B$5:B5,B5,$G$5:G5,"경고"))</f>
        <v/>
      </c>
    </row>
    <row r="6" ht="21.75" customHeight="1" s="49">
      <c r="A6" s="6" t="n"/>
      <c r="B6" s="6" t="n"/>
      <c r="C6" s="6" t="n"/>
      <c r="D6" s="6" t="n"/>
      <c r="E6" s="11">
        <f>IFERROR(D6/C6,0)</f>
        <v/>
      </c>
      <c r="F6" s="19" t="n"/>
      <c r="G6" s="12">
        <f>IF(F6="","",IF(F6&gt;=1,"완수",IF(F6&gt;=0.9,"정상",IF(F6&gt;=0.7,"주의","경고"))))</f>
        <v/>
      </c>
      <c r="H6" s="6" t="n"/>
      <c r="I6" s="6" t="n"/>
      <c r="J6" s="11">
        <f>IFERROR(I6/H6,0)</f>
        <v/>
      </c>
      <c r="K6" s="1" t="n"/>
      <c r="L6" s="1" t="n"/>
      <c r="M6" s="12">
        <f>IF(B6="","",COUNTIFS($B$5:B6,B6,$G$5:G6,"경고"))</f>
        <v/>
      </c>
    </row>
    <row r="7" ht="21.75" customHeight="1" s="49">
      <c r="A7" s="6" t="n"/>
      <c r="B7" s="6" t="n"/>
      <c r="C7" s="6" t="n"/>
      <c r="D7" s="6" t="n"/>
      <c r="E7" s="11">
        <f>IFERROR(D7/C7,0)</f>
        <v/>
      </c>
      <c r="F7" s="19" t="n"/>
      <c r="G7" s="12">
        <f>IF(F7="","",IF(F7&gt;=1,"완수",IF(F7&gt;=0.9,"정상",IF(F7&gt;=0.7,"주의","경고"))))</f>
        <v/>
      </c>
      <c r="H7" s="6" t="n"/>
      <c r="I7" s="6" t="n"/>
      <c r="J7" s="11">
        <f>IFERROR(I7/H7,0)</f>
        <v/>
      </c>
      <c r="K7" s="1" t="n"/>
      <c r="L7" s="1" t="n"/>
      <c r="M7" s="12">
        <f>IF(B7="","",COUNTIFS($B$5:B7,B7,$G$5:G7,"경고"))</f>
        <v/>
      </c>
    </row>
    <row r="8" ht="21.75" customHeight="1" s="49">
      <c r="A8" s="6" t="n"/>
      <c r="B8" s="6" t="n"/>
      <c r="C8" s="6" t="n"/>
      <c r="D8" s="6" t="n"/>
      <c r="E8" s="11">
        <f>IFERROR(D8/C8,0)</f>
        <v/>
      </c>
      <c r="F8" s="19" t="n"/>
      <c r="G8" s="12">
        <f>IF(F8="","",IF(F8&gt;=1,"완수",IF(F8&gt;=0.9,"정상",IF(F8&gt;=0.7,"주의","경고"))))</f>
        <v/>
      </c>
      <c r="H8" s="6" t="n"/>
      <c r="I8" s="6" t="n"/>
      <c r="J8" s="11">
        <f>IFERROR(I8/H8,0)</f>
        <v/>
      </c>
      <c r="K8" s="1" t="n"/>
      <c r="L8" s="1" t="n"/>
      <c r="M8" s="12">
        <f>IF(B8="","",COUNTIFS($B$5:B8,B8,$G$5:G8,"경고"))</f>
        <v/>
      </c>
    </row>
    <row r="9" ht="21.75" customHeight="1" s="49">
      <c r="A9" s="6" t="n"/>
      <c r="B9" s="6" t="n"/>
      <c r="C9" s="6" t="n"/>
      <c r="D9" s="6" t="n"/>
      <c r="E9" s="11">
        <f>IFERROR(D9/C9,0)</f>
        <v/>
      </c>
      <c r="F9" s="19" t="n"/>
      <c r="G9" s="12">
        <f>IF(F9="","",IF(F9&gt;=1,"완수",IF(F9&gt;=0.9,"정상",IF(F9&gt;=0.7,"주의","경고"))))</f>
        <v/>
      </c>
      <c r="H9" s="6" t="n"/>
      <c r="I9" s="6" t="n"/>
      <c r="J9" s="11">
        <f>IFERROR(I9/H9,0)</f>
        <v/>
      </c>
      <c r="K9" s="1" t="n"/>
      <c r="L9" s="1" t="n"/>
      <c r="M9" s="12">
        <f>IF(B9="","",COUNTIFS($B$5:B9,B9,$G$5:G9,"경고"))</f>
        <v/>
      </c>
    </row>
    <row r="10" ht="21.75" customHeight="1" s="49">
      <c r="A10" s="6" t="n"/>
      <c r="B10" s="6" t="n"/>
      <c r="C10" s="6" t="n"/>
      <c r="D10" s="6" t="n"/>
      <c r="E10" s="11">
        <f>IFERROR(D10/C10,0)</f>
        <v/>
      </c>
      <c r="F10" s="19" t="n"/>
      <c r="G10" s="12">
        <f>IF(F10="","",IF(F10&gt;=1,"완수",IF(F10&gt;=0.9,"정상",IF(F10&gt;=0.7,"주의","경고"))))</f>
        <v/>
      </c>
      <c r="H10" s="6" t="n"/>
      <c r="I10" s="6" t="n"/>
      <c r="J10" s="11">
        <f>IFERROR(I10/H10,0)</f>
        <v/>
      </c>
      <c r="K10" s="1" t="n"/>
      <c r="L10" s="1" t="n"/>
      <c r="M10" s="12">
        <f>IF(B10="","",COUNTIFS($B$5:B10,B10,$G$5:G10,"경고"))</f>
        <v/>
      </c>
    </row>
    <row r="11" ht="21.75" customHeight="1" s="49">
      <c r="A11" s="6" t="n"/>
      <c r="B11" s="6" t="n"/>
      <c r="C11" s="6" t="n"/>
      <c r="D11" s="6" t="n"/>
      <c r="E11" s="11">
        <f>IFERROR(D11/C11,0)</f>
        <v/>
      </c>
      <c r="F11" s="19" t="n"/>
      <c r="G11" s="12">
        <f>IF(F11="","",IF(F11&gt;=1,"완수",IF(F11&gt;=0.9,"정상",IF(F11&gt;=0.7,"주의","경고"))))</f>
        <v/>
      </c>
      <c r="H11" s="6" t="n"/>
      <c r="I11" s="6" t="n"/>
      <c r="J11" s="11">
        <f>IFERROR(I11/H11,0)</f>
        <v/>
      </c>
      <c r="K11" s="1" t="n"/>
      <c r="L11" s="1" t="n"/>
      <c r="M11" s="12">
        <f>IF(B11="","",COUNTIFS($B$5:B11,B11,$G$5:G11,"경고"))</f>
        <v/>
      </c>
    </row>
    <row r="12" ht="21.75" customHeight="1" s="49">
      <c r="A12" s="6" t="n"/>
      <c r="B12" s="6" t="n"/>
      <c r="C12" s="6" t="n"/>
      <c r="D12" s="6" t="n"/>
      <c r="E12" s="11">
        <f>IFERROR(D12/C12,0)</f>
        <v/>
      </c>
      <c r="F12" s="19" t="n"/>
      <c r="G12" s="12">
        <f>IF(F12="","",IF(F12&gt;=1,"완수",IF(F12&gt;=0.9,"정상",IF(F12&gt;=0.7,"주의","경고"))))</f>
        <v/>
      </c>
      <c r="H12" s="6" t="n"/>
      <c r="I12" s="6" t="n"/>
      <c r="J12" s="11">
        <f>IFERROR(I12/H12,0)</f>
        <v/>
      </c>
      <c r="K12" s="1" t="n"/>
      <c r="L12" s="1" t="n"/>
      <c r="M12" s="12">
        <f>IF(B12="","",COUNTIFS($B$5:B12,B12,$G$5:G12,"경고"))</f>
        <v/>
      </c>
    </row>
    <row r="13" ht="21.75" customHeight="1" s="49">
      <c r="A13" s="6" t="n"/>
      <c r="B13" s="6" t="n"/>
      <c r="C13" s="6" t="n"/>
      <c r="D13" s="6" t="n"/>
      <c r="E13" s="11">
        <f>IFERROR(D13/C13,0)</f>
        <v/>
      </c>
      <c r="F13" s="19" t="n"/>
      <c r="G13" s="12">
        <f>IF(F13="","",IF(F13&gt;=1,"완수",IF(F13&gt;=0.9,"정상",IF(F13&gt;=0.7,"주의","경고"))))</f>
        <v/>
      </c>
      <c r="H13" s="6" t="n"/>
      <c r="I13" s="6" t="n"/>
      <c r="J13" s="11">
        <f>IFERROR(I13/H13,0)</f>
        <v/>
      </c>
      <c r="K13" s="1" t="n"/>
      <c r="L13" s="1" t="n"/>
      <c r="M13" s="12">
        <f>IF(B13="","",COUNTIFS($B$5:B13,B13,$G$5:G13,"경고"))</f>
        <v/>
      </c>
    </row>
    <row r="14" ht="21.75" customHeight="1" s="49">
      <c r="A14" s="6" t="n"/>
      <c r="B14" s="6" t="n"/>
      <c r="C14" s="6" t="n"/>
      <c r="D14" s="6" t="n"/>
      <c r="E14" s="11">
        <f>IFERROR(D14/C14,0)</f>
        <v/>
      </c>
      <c r="F14" s="19" t="n"/>
      <c r="G14" s="12">
        <f>IF(F14="","",IF(F14&gt;=1,"완수",IF(F14&gt;=0.9,"정상",IF(F14&gt;=0.7,"주의","경고"))))</f>
        <v/>
      </c>
      <c r="H14" s="6" t="n"/>
      <c r="I14" s="6" t="n"/>
      <c r="J14" s="11">
        <f>IFERROR(I14/H14,0)</f>
        <v/>
      </c>
      <c r="K14" s="1" t="n"/>
      <c r="L14" s="1" t="n"/>
      <c r="M14" s="12">
        <f>IF(B14="","",COUNTIFS($B$5:B14,B14,$G$5:G14,"경고"))</f>
        <v/>
      </c>
    </row>
    <row r="15" ht="21.75" customHeight="1" s="49">
      <c r="A15" s="6" t="n"/>
      <c r="B15" s="6" t="n"/>
      <c r="C15" s="6" t="n"/>
      <c r="D15" s="6" t="n"/>
      <c r="E15" s="11">
        <f>IFERROR(D15/C15,0)</f>
        <v/>
      </c>
      <c r="F15" s="19" t="n"/>
      <c r="G15" s="12">
        <f>IF(F15="","",IF(F15&gt;=1,"완수",IF(F15&gt;=0.9,"정상",IF(F15&gt;=0.7,"주의","경고"))))</f>
        <v/>
      </c>
      <c r="H15" s="6" t="n"/>
      <c r="I15" s="6" t="n"/>
      <c r="J15" s="11">
        <f>IFERROR(I15/H15,0)</f>
        <v/>
      </c>
      <c r="K15" s="1" t="n"/>
      <c r="L15" s="1" t="n"/>
      <c r="M15" s="12">
        <f>IF(B15="","",COUNTIFS($B$5:B15,B15,$G$5:G15,"경고"))</f>
        <v/>
      </c>
    </row>
    <row r="16" ht="21.75" customHeight="1" s="49">
      <c r="A16" s="6" t="n"/>
      <c r="B16" s="6" t="n"/>
      <c r="C16" s="6" t="n"/>
      <c r="D16" s="6" t="n"/>
      <c r="E16" s="11">
        <f>IFERROR(D16/C16,0)</f>
        <v/>
      </c>
      <c r="F16" s="19" t="n"/>
      <c r="G16" s="12">
        <f>IF(F16="","",IF(F16&gt;=1,"완수",IF(F16&gt;=0.9,"정상",IF(F16&gt;=0.7,"주의","경고"))))</f>
        <v/>
      </c>
      <c r="H16" s="6" t="n"/>
      <c r="I16" s="6" t="n"/>
      <c r="J16" s="11">
        <f>IFERROR(I16/H16,0)</f>
        <v/>
      </c>
      <c r="K16" s="1" t="n"/>
      <c r="L16" s="1" t="n"/>
      <c r="M16" s="12">
        <f>IF(B16="","",COUNTIFS($B$5:B16,B16,$G$5:G16,"경고"))</f>
        <v/>
      </c>
    </row>
    <row r="17" ht="21.75" customHeight="1" s="49">
      <c r="A17" s="6" t="n"/>
      <c r="B17" s="6" t="n"/>
      <c r="C17" s="6" t="n"/>
      <c r="D17" s="6" t="n"/>
      <c r="E17" s="11">
        <f>IFERROR(D17/C17,0)</f>
        <v/>
      </c>
      <c r="F17" s="19" t="n"/>
      <c r="G17" s="12">
        <f>IF(F17="","",IF(F17&gt;=1,"완수",IF(F17&gt;=0.9,"정상",IF(F17&gt;=0.7,"주의","경고"))))</f>
        <v/>
      </c>
      <c r="H17" s="6" t="n"/>
      <c r="I17" s="6" t="n"/>
      <c r="J17" s="11">
        <f>IFERROR(I17/H17,0)</f>
        <v/>
      </c>
      <c r="K17" s="1" t="n"/>
      <c r="L17" s="1" t="n"/>
      <c r="M17" s="12">
        <f>IF(B17="","",COUNTIFS($B$5:B17,B17,$G$5:G17,"경고"))</f>
        <v/>
      </c>
    </row>
    <row r="18" ht="21.75" customHeight="1" s="49">
      <c r="A18" s="6" t="n"/>
      <c r="B18" s="6" t="n"/>
      <c r="C18" s="6" t="n"/>
      <c r="D18" s="6" t="n"/>
      <c r="E18" s="11">
        <f>IFERROR(D18/C18,0)</f>
        <v/>
      </c>
      <c r="F18" s="19" t="n"/>
      <c r="G18" s="12">
        <f>IF(F18="","",IF(F18&gt;=1,"완수",IF(F18&gt;=0.9,"정상",IF(F18&gt;=0.7,"주의","경고"))))</f>
        <v/>
      </c>
      <c r="H18" s="6" t="n"/>
      <c r="I18" s="6" t="n"/>
      <c r="J18" s="11">
        <f>IFERROR(I18/H18,0)</f>
        <v/>
      </c>
      <c r="K18" s="1" t="n"/>
      <c r="L18" s="1" t="n"/>
      <c r="M18" s="12">
        <f>IF(B18="","",COUNTIFS($B$5:B18,B18,$G$5:G18,"경고"))</f>
        <v/>
      </c>
    </row>
    <row r="19" ht="21.75" customHeight="1" s="49">
      <c r="A19" s="6" t="n"/>
      <c r="B19" s="6" t="n"/>
      <c r="C19" s="6" t="n"/>
      <c r="D19" s="6" t="n"/>
      <c r="E19" s="11">
        <f>IFERROR(D19/C19,0)</f>
        <v/>
      </c>
      <c r="F19" s="19" t="n"/>
      <c r="G19" s="12">
        <f>IF(F19="","",IF(F19&gt;=1,"완수",IF(F19&gt;=0.9,"정상",IF(F19&gt;=0.7,"주의","경고"))))</f>
        <v/>
      </c>
      <c r="H19" s="6" t="n"/>
      <c r="I19" s="6" t="n"/>
      <c r="J19" s="11">
        <f>IFERROR(I19/H19,0)</f>
        <v/>
      </c>
      <c r="K19" s="1" t="n"/>
      <c r="L19" s="1" t="n"/>
      <c r="M19" s="12">
        <f>IF(B19="","",COUNTIFS($B$5:B19,B19,$G$5:G19,"경고"))</f>
        <v/>
      </c>
    </row>
    <row r="20" ht="21.75" customHeight="1" s="49">
      <c r="A20" s="6" t="n"/>
      <c r="B20" s="6" t="n"/>
      <c r="C20" s="6" t="n"/>
      <c r="D20" s="6" t="n"/>
      <c r="E20" s="11">
        <f>IFERROR(D20/C20,0)</f>
        <v/>
      </c>
      <c r="F20" s="19" t="n"/>
      <c r="G20" s="12">
        <f>IF(F20="","",IF(F20&gt;=1,"완수",IF(F20&gt;=0.9,"정상",IF(F20&gt;=0.7,"주의","경고"))))</f>
        <v/>
      </c>
      <c r="H20" s="6" t="n"/>
      <c r="I20" s="6" t="n"/>
      <c r="J20" s="11">
        <f>IFERROR(I20/H20,0)</f>
        <v/>
      </c>
      <c r="K20" s="1" t="n"/>
      <c r="L20" s="1" t="n"/>
      <c r="M20" s="12">
        <f>IF(B20="","",COUNTIFS($B$5:B20,B20,$G$5:G20,"경고"))</f>
        <v/>
      </c>
    </row>
    <row r="21" ht="21.75" customHeight="1" s="49">
      <c r="A21" s="6" t="n"/>
      <c r="B21" s="6" t="n"/>
      <c r="C21" s="6" t="n"/>
      <c r="D21" s="6" t="n"/>
      <c r="E21" s="11">
        <f>IFERROR(D21/C21,0)</f>
        <v/>
      </c>
      <c r="F21" s="19" t="n"/>
      <c r="G21" s="12">
        <f>IF(F21="","",IF(F21&gt;=1,"완수",IF(F21&gt;=0.9,"정상",IF(F21&gt;=0.7,"주의","경고"))))</f>
        <v/>
      </c>
      <c r="H21" s="6" t="n"/>
      <c r="I21" s="6" t="n"/>
      <c r="J21" s="11">
        <f>IFERROR(I21/H21,0)</f>
        <v/>
      </c>
      <c r="K21" s="1" t="n"/>
      <c r="L21" s="1" t="n"/>
      <c r="M21" s="12">
        <f>IF(B21="","",COUNTIFS($B$5:B21,B21,$G$5:G21,"경고"))</f>
        <v/>
      </c>
    </row>
    <row r="22" ht="21.75" customHeight="1" s="49">
      <c r="A22" s="6" t="n"/>
      <c r="B22" s="6" t="n"/>
      <c r="C22" s="6" t="n"/>
      <c r="D22" s="6" t="n"/>
      <c r="E22" s="11">
        <f>IFERROR(D22/C22,0)</f>
        <v/>
      </c>
      <c r="F22" s="19" t="n"/>
      <c r="G22" s="12">
        <f>IF(F22="","",IF(F22&gt;=1,"완수",IF(F22&gt;=0.9,"정상",IF(F22&gt;=0.7,"주의","경고"))))</f>
        <v/>
      </c>
      <c r="H22" s="6" t="n"/>
      <c r="I22" s="6" t="n"/>
      <c r="J22" s="11">
        <f>IFERROR(I22/H22,0)</f>
        <v/>
      </c>
      <c r="K22" s="1" t="n"/>
      <c r="L22" s="1" t="n"/>
      <c r="M22" s="12">
        <f>IF(B22="","",COUNTIFS($B$5:B22,B22,$G$5:G22,"경고"))</f>
        <v/>
      </c>
    </row>
    <row r="23" ht="21.75" customHeight="1" s="49">
      <c r="A23" s="6" t="n"/>
      <c r="B23" s="6" t="n"/>
      <c r="C23" s="6" t="n"/>
      <c r="D23" s="6" t="n"/>
      <c r="E23" s="11">
        <f>IFERROR(D23/C23,0)</f>
        <v/>
      </c>
      <c r="F23" s="19" t="n"/>
      <c r="G23" s="12">
        <f>IF(F23="","",IF(F23&gt;=1,"완수",IF(F23&gt;=0.9,"정상",IF(F23&gt;=0.7,"주의","경고"))))</f>
        <v/>
      </c>
      <c r="H23" s="6" t="n"/>
      <c r="I23" s="6" t="n"/>
      <c r="J23" s="11">
        <f>IFERROR(I23/H23,0)</f>
        <v/>
      </c>
      <c r="K23" s="1" t="n"/>
      <c r="L23" s="1" t="n"/>
      <c r="M23" s="12">
        <f>IF(B23="","",COUNTIFS($B$5:B23,B23,$G$5:G23,"경고"))</f>
        <v/>
      </c>
    </row>
    <row r="24" ht="21.75" customHeight="1" s="49">
      <c r="A24" s="6" t="n"/>
      <c r="B24" s="6" t="n"/>
      <c r="C24" s="6" t="n"/>
      <c r="D24" s="6" t="n"/>
      <c r="E24" s="11">
        <f>IFERROR(D24/C24,0)</f>
        <v/>
      </c>
      <c r="F24" s="19" t="n"/>
      <c r="G24" s="12">
        <f>IF(F24="","",IF(F24&gt;=1,"완수",IF(F24&gt;=0.9,"정상",IF(F24&gt;=0.7,"주의","경고"))))</f>
        <v/>
      </c>
      <c r="H24" s="6" t="n"/>
      <c r="I24" s="6" t="n"/>
      <c r="J24" s="11">
        <f>IFERROR(I24/H24,0)</f>
        <v/>
      </c>
      <c r="K24" s="1" t="n"/>
      <c r="L24" s="1" t="n"/>
      <c r="M24" s="12">
        <f>IF(B24="","",COUNTIFS($B$5:B24,B24,$G$5:G24,"경고"))</f>
        <v/>
      </c>
    </row>
    <row r="25" ht="21.75" customHeight="1" s="49">
      <c r="A25" s="6" t="n"/>
      <c r="B25" s="6" t="n"/>
      <c r="C25" s="6" t="n"/>
      <c r="D25" s="6" t="n"/>
      <c r="E25" s="11">
        <f>IFERROR(D25/C25,0)</f>
        <v/>
      </c>
      <c r="F25" s="19" t="n"/>
      <c r="G25" s="12">
        <f>IF(F25="","",IF(F25&gt;=1,"완수",IF(F25&gt;=0.9,"정상",IF(F25&gt;=0.7,"주의","경고"))))</f>
        <v/>
      </c>
      <c r="H25" s="6" t="n"/>
      <c r="I25" s="6" t="n"/>
      <c r="J25" s="11">
        <f>IFERROR(I25/H25,0)</f>
        <v/>
      </c>
      <c r="K25" s="1" t="n"/>
      <c r="L25" s="1" t="n"/>
      <c r="M25" s="12">
        <f>IF(B25="","",COUNTIFS($B$5:B25,B25,$G$5:G25,"경고"))</f>
        <v/>
      </c>
    </row>
    <row r="26" ht="21.75" customHeight="1" s="49">
      <c r="A26" s="6" t="n"/>
      <c r="B26" s="6" t="n"/>
      <c r="C26" s="6" t="n"/>
      <c r="D26" s="6" t="n"/>
      <c r="E26" s="11">
        <f>IFERROR(D26/C26,0)</f>
        <v/>
      </c>
      <c r="F26" s="19" t="n"/>
      <c r="G26" s="12">
        <f>IF(F26="","",IF(F26&gt;=1,"완수",IF(F26&gt;=0.9,"정상",IF(F26&gt;=0.7,"주의","경고"))))</f>
        <v/>
      </c>
      <c r="H26" s="6" t="n"/>
      <c r="I26" s="6" t="n"/>
      <c r="J26" s="11">
        <f>IFERROR(I26/H26,0)</f>
        <v/>
      </c>
      <c r="K26" s="1" t="n"/>
      <c r="L26" s="1" t="n"/>
      <c r="M26" s="12">
        <f>IF(B26="","",COUNTIFS($B$5:B26,B26,$G$5:G26,"경고"))</f>
        <v/>
      </c>
    </row>
    <row r="27" ht="21.75" customHeight="1" s="49">
      <c r="A27" s="6" t="n"/>
      <c r="B27" s="6" t="n"/>
      <c r="C27" s="6" t="n"/>
      <c r="D27" s="6" t="n"/>
      <c r="E27" s="11">
        <f>IFERROR(D27/C27,0)</f>
        <v/>
      </c>
      <c r="F27" s="19" t="n"/>
      <c r="G27" s="12">
        <f>IF(F27="","",IF(F27&gt;=1,"완수",IF(F27&gt;=0.9,"정상",IF(F27&gt;=0.7,"주의","경고"))))</f>
        <v/>
      </c>
      <c r="H27" s="6" t="n"/>
      <c r="I27" s="6" t="n"/>
      <c r="J27" s="11">
        <f>IFERROR(I27/H27,0)</f>
        <v/>
      </c>
      <c r="K27" s="1" t="n"/>
      <c r="L27" s="1" t="n"/>
      <c r="M27" s="12">
        <f>IF(B27="","",COUNTIFS($B$5:B27,B27,$G$5:G27,"경고"))</f>
        <v/>
      </c>
    </row>
    <row r="28" ht="21.75" customHeight="1" s="49">
      <c r="A28" s="6" t="n"/>
      <c r="B28" s="6" t="n"/>
      <c r="C28" s="6" t="n"/>
      <c r="D28" s="6" t="n"/>
      <c r="E28" s="11">
        <f>IFERROR(D28/C28,0)</f>
        <v/>
      </c>
      <c r="F28" s="19" t="n"/>
      <c r="G28" s="12">
        <f>IF(F28="","",IF(F28&gt;=1,"완수",IF(F28&gt;=0.9,"정상",IF(F28&gt;=0.7,"주의","경고"))))</f>
        <v/>
      </c>
      <c r="H28" s="6" t="n"/>
      <c r="I28" s="6" t="n"/>
      <c r="J28" s="11">
        <f>IFERROR(I28/H28,0)</f>
        <v/>
      </c>
      <c r="K28" s="1" t="n"/>
      <c r="L28" s="1" t="n"/>
      <c r="M28" s="12">
        <f>IF(B28="","",COUNTIFS($B$5:B28,B28,$G$5:G28,"경고"))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2026-07-12T17:40:57Z</dcterms:created>
  <dcterms:modified xsi:type="dcterms:W3CDTF">2026-08-30T22:08:31Z</dcterms:modified>
  <cp:lastModifiedBy>서창환</cp:lastModifiedBy>
  <cp:revision>0</cp:revision>
</cp:coreProperties>
</file>