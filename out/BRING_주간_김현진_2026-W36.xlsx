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name="00_운영규칙" sheetId="1" state="visible" r:id="rId1"/>
    <sheet name="01_업무지시서" sheetId="2" state="visible" r:id="rId2"/>
    <sheet name="02_주간완료보고서" sheetId="3" state="visible" r:id="rId3"/>
    <sheet name="03_주간관리대장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40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1F3864"/>
      <sz val="18"/>
    </font>
    <font>
      <name val="Noto Sans CJK SC"/>
      <family val="2"/>
      <b val="1"/>
      <color rgb="FF1F3864"/>
      <sz val="18"/>
    </font>
    <font>
      <name val="Noto Sans CJK SC"/>
      <family val="2"/>
      <color rgb="FF808080"/>
      <sz val="9"/>
    </font>
    <font>
      <name val="맑은 고딕"/>
      <charset val="129"/>
      <family val="3"/>
      <color rgb="FF808080"/>
      <sz val="9"/>
    </font>
    <font>
      <name val="Noto Sans CJK SC"/>
      <family val="2"/>
      <b val="1"/>
      <color rgb="FF000000"/>
      <sz val="9"/>
    </font>
    <font>
      <name val="Noto Sans CJK SC"/>
      <family val="2"/>
      <b val="1"/>
      <color rgb="FFFFFFFF"/>
      <sz val="9"/>
    </font>
    <font>
      <name val="Noto Sans CJK SC"/>
      <family val="2"/>
      <color rgb="FF000000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family val="2"/>
      <color rgb="FFA6A6A6"/>
      <sz val="8"/>
    </font>
    <font>
      <name val="맑은 고딕"/>
      <charset val="129"/>
      <family val="3"/>
      <color rgb="FFA6A6A6"/>
      <sz val="8"/>
    </font>
    <font>
      <name val="Noto Sans CJK SC"/>
      <family val="2"/>
      <color rgb="FF808080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808080"/>
      <sz val="8"/>
    </font>
    <font>
      <name val="맑은 고딕"/>
      <charset val="129"/>
      <family val="3"/>
      <b val="1"/>
      <color rgb="FF000000"/>
      <sz val="12"/>
    </font>
    <font>
      <name val="Noto Sans CJK SC"/>
      <family val="2"/>
      <b val="1"/>
      <color rgb="FFC00000"/>
      <sz val="9"/>
    </font>
    <font>
      <name val="맑은 고딕"/>
      <charset val="129"/>
      <family val="3"/>
      <b val="1"/>
      <color rgb="FF000000"/>
      <sz val="13"/>
    </font>
    <font>
      <name val="Noto Sans CJK SC"/>
      <family val="2"/>
      <b val="1"/>
      <color rgb="FF000000"/>
      <sz val="12"/>
    </font>
    <font>
      <name val="맑은 고딕"/>
      <charset val="129"/>
      <family val="3"/>
      <b val="1"/>
      <color rgb="FF000000"/>
      <sz val="10"/>
    </font>
    <font>
      <name val="돋움"/>
      <charset val="129"/>
      <family val="3"/>
      <sz val="8"/>
    </font>
    <font>
      <name val="Arial"/>
      <family val="2"/>
      <color rgb="FF000000"/>
      <sz val="9"/>
    </font>
    <font>
      <name val="Noto Sans CJK SC"/>
      <charset val="129"/>
      <family val="3"/>
      <color rgb="FF000000"/>
      <sz val="9"/>
    </font>
    <font>
      <name val="Noto Sans CJK SC"/>
      <charset val="129"/>
      <family val="2"/>
      <color rgb="FF000000"/>
      <sz val="9"/>
    </font>
    <font>
      <name val="Noto Sans CJK SC"/>
      <family val="2"/>
      <color theme="1"/>
      <sz val="8"/>
    </font>
    <font>
      <name val="Noto Sans CJK SC"/>
      <family val="2"/>
      <color theme="1"/>
      <sz val="9"/>
    </font>
    <font>
      <name val="Calibri"/>
      <charset val="1"/>
      <family val="2"/>
      <color theme="1"/>
      <sz val="9"/>
    </font>
    <font>
      <name val="맑은 고딕"/>
      <charset val="129"/>
      <family val="3"/>
      <color theme="1"/>
      <sz val="9"/>
    </font>
    <font>
      <name val="Arial"/>
      <family val="2"/>
      <color theme="1"/>
      <sz val="9"/>
    </font>
    <font>
      <name val="Noto Sans CJK SC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Noto Sans CJK SC"/>
      <charset val="129"/>
      <family val="3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Noto Sans CJK SC"/>
      <charset val="129"/>
      <family val="3"/>
      <b val="1"/>
      <color rgb="FF000000"/>
      <sz val="9"/>
    </font>
    <font>
      <name val="맑은 고딕"/>
      <charset val="129"/>
      <family val="3"/>
      <color rgb="FFFF0000"/>
      <sz val="9"/>
    </font>
    <font>
      <name val="Arial"/>
      <family val="2"/>
      <color rgb="FFFF0000"/>
      <sz val="9"/>
    </font>
    <font>
      <name val="Noto Sans CJK SC"/>
      <charset val="129"/>
      <family val="3"/>
      <color rgb="FFFF0000"/>
      <sz val="9"/>
    </font>
  </fonts>
  <fills count="9">
    <fill>
      <patternFill/>
    </fill>
    <fill>
      <patternFill patternType="gray125"/>
    </fill>
    <fill>
      <patternFill patternType="solid">
        <fgColor rgb="FF2E5B9A"/>
        <bgColor rgb="FF0066CC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9" fontId="16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9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9" fontId="9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9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9" fontId="21" fillId="7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24" fillId="4" borderId="3" applyAlignment="1" pivotButton="0" quotePrefix="0" xfId="0">
      <alignment horizontal="center" vertical="center" wrapText="1"/>
    </xf>
    <xf numFmtId="0" fontId="25" fillId="4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1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top" wrapText="1"/>
    </xf>
    <xf numFmtId="0" fontId="28" fillId="0" borderId="7" applyAlignment="1" pivotButton="0" quotePrefix="0" xfId="0">
      <alignment horizontal="left"/>
    </xf>
    <xf numFmtId="0" fontId="28" fillId="0" borderId="6" applyAlignment="1" pivotButton="0" quotePrefix="0" xfId="0">
      <alignment horizontal="left"/>
    </xf>
    <xf numFmtId="0" fontId="27" fillId="4" borderId="1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12" fillId="4" borderId="13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3" fillId="4" borderId="13" applyAlignment="1" pivotButton="0" quotePrefix="0" xfId="0">
      <alignment vertical="top" wrapText="1"/>
    </xf>
    <xf numFmtId="0" fontId="13" fillId="4" borderId="7" applyAlignment="1" pivotButton="0" quotePrefix="0" xfId="0">
      <alignment vertical="top" wrapText="1"/>
    </xf>
    <xf numFmtId="0" fontId="13" fillId="4" borderId="6" applyAlignment="1" pivotButton="0" quotePrefix="0" xfId="0">
      <alignment vertical="top" wrapText="1"/>
    </xf>
    <xf numFmtId="0" fontId="12" fillId="4" borderId="13" applyAlignment="1" pivotButton="0" quotePrefix="0" xfId="0">
      <alignment vertical="top" wrapText="1"/>
    </xf>
    <xf numFmtId="0" fontId="12" fillId="4" borderId="7" applyAlignment="1" pivotButton="0" quotePrefix="0" xfId="0">
      <alignment vertical="top" wrapText="1"/>
    </xf>
    <xf numFmtId="0" fontId="12" fillId="4" borderId="6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center" wrapText="1"/>
    </xf>
    <xf numFmtId="0" fontId="10" fillId="5" borderId="11" applyAlignment="1" pivotButton="0" quotePrefix="0" xfId="0">
      <alignment horizontal="left" vertical="center" wrapText="1"/>
    </xf>
    <xf numFmtId="0" fontId="5" fillId="7" borderId="13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left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  <xf numFmtId="0" fontId="32" fillId="4" borderId="13" applyAlignment="1" pivotButton="0" quotePrefix="0" xfId="0">
      <alignment vertical="center" wrapText="1"/>
    </xf>
    <xf numFmtId="0" fontId="32" fillId="4" borderId="7" applyAlignment="1" pivotButton="0" quotePrefix="0" xfId="0">
      <alignment vertical="center" wrapText="1"/>
    </xf>
    <xf numFmtId="0" fontId="32" fillId="4" borderId="6" applyAlignment="1" pivotButton="0" quotePrefix="0" xfId="0">
      <alignment vertical="center" wrapText="1"/>
    </xf>
    <xf numFmtId="0" fontId="32" fillId="4" borderId="13" applyAlignment="1" pivotButton="0" quotePrefix="0" xfId="0">
      <alignment horizontal="left" vertical="center" wrapText="1"/>
    </xf>
    <xf numFmtId="0" fontId="32" fillId="4" borderId="7" applyAlignment="1" pivotButton="0" quotePrefix="0" xfId="0">
      <alignment horizontal="left" vertical="center" wrapText="1"/>
    </xf>
    <xf numFmtId="0" fontId="32" fillId="4" borderId="6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33" fillId="4" borderId="1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4" fontId="7" fillId="4" borderId="1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32" fillId="4" borderId="1" applyAlignment="1" pivotButton="0" quotePrefix="0" xfId="0">
      <alignment vertical="center" wrapText="1"/>
    </xf>
    <xf numFmtId="0" fontId="0" fillId="0" borderId="15" pivotButton="0" quotePrefix="0" xfId="0"/>
    <xf numFmtId="0" fontId="32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B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zoomScaleNormal="100" workbookViewId="0">
      <selection activeCell="K11" sqref="K11"/>
    </sheetView>
  </sheetViews>
  <sheetFormatPr baseColWidth="8" defaultColWidth="8.7109375" defaultRowHeight="15"/>
  <cols>
    <col width="8.7109375" customWidth="1" style="54" min="1" max="1"/>
    <col width="22" customWidth="1" style="54" min="2" max="2"/>
    <col width="58" customWidth="1" style="54" min="3" max="3"/>
    <col width="56.42578125" customWidth="1" style="54" min="4" max="4"/>
    <col width="30" customWidth="1" style="54" min="5" max="5"/>
    <col width="8.7109375" customWidth="1" style="54" min="6" max="6"/>
    <col width="8.7109375" customWidth="1" style="54" min="7" max="16384"/>
  </cols>
  <sheetData>
    <row r="2" ht="25.5" customHeight="1" s="49">
      <c r="C2" s="32" t="inlineStr">
        <is>
          <t>BRING 주간 업무지시·완료보고 운영규칙</t>
        </is>
      </c>
    </row>
    <row r="3">
      <c r="C3" s="67" t="inlineStr">
        <is>
          <t>월요일 지시 → 금요일 회수. 지시되지 않은 업무는 평가하지 않으며, 완료기준이 없는 업무는 지시하지 않음.</t>
        </is>
      </c>
    </row>
    <row r="5">
      <c r="B5" s="34" t="inlineStr">
        <is>
          <t>■ 주간 사이클</t>
        </is>
      </c>
    </row>
    <row r="6" ht="19.5" customHeight="1" s="49">
      <c r="B6" s="46" t="inlineStr">
        <is>
          <t>시점</t>
        </is>
      </c>
      <c r="C6" s="46" t="inlineStr">
        <is>
          <t>행위자</t>
        </is>
      </c>
      <c r="D6" s="46" t="inlineStr">
        <is>
          <t>행위</t>
        </is>
      </c>
      <c r="E6" s="46" t="inlineStr">
        <is>
          <t>미이행 시</t>
        </is>
      </c>
    </row>
    <row r="7" ht="30" customHeight="1" s="49">
      <c r="B7" s="22" t="inlineStr">
        <is>
          <t>월 09:00</t>
        </is>
      </c>
      <c r="C7" s="23" t="inlineStr">
        <is>
          <t>대표</t>
        </is>
      </c>
      <c r="D7" s="23" t="inlineStr">
        <is>
          <t>[01_업무지시서] 작성·전달</t>
        </is>
      </c>
      <c r="E7" s="22" t="inlineStr">
        <is>
          <t>지시 무효 — 해당 주 미평가</t>
        </is>
      </c>
    </row>
    <row r="8" ht="30" customHeight="1" s="49">
      <c r="B8" s="22" t="inlineStr">
        <is>
          <t>월 12:00</t>
        </is>
      </c>
      <c r="C8" s="22" t="inlineStr">
        <is>
          <t>담당자</t>
        </is>
      </c>
      <c r="D8" s="23" t="inlineStr">
        <is>
          <t>[01] 하단 접수확인 작성 (본인 언어로 재정의 + 리스크 + 필요지원)</t>
        </is>
      </c>
      <c r="E8" s="22" t="inlineStr">
        <is>
          <t>업무 미이해로 간주, 재지시</t>
        </is>
      </c>
    </row>
    <row r="9" ht="30" customHeight="1" s="49">
      <c r="B9" s="22" t="inlineStr">
        <is>
          <t>화~목</t>
        </is>
      </c>
      <c r="C9" s="22" t="inlineStr">
        <is>
          <t>담당자</t>
        </is>
      </c>
      <c r="D9" s="22" t="inlineStr">
        <is>
          <t>이슈 발생 즉시 보고 (일정 2일↑ 지연 / 비용 초과 / 안전)</t>
        </is>
      </c>
      <c r="E9" s="22" t="inlineStr">
        <is>
          <t>금요일 사유 인정 불가</t>
        </is>
      </c>
    </row>
    <row r="10" ht="30" customHeight="1" s="49">
      <c r="B10" s="22" t="inlineStr">
        <is>
          <t>금 17:00</t>
        </is>
      </c>
      <c r="C10" s="22" t="inlineStr">
        <is>
          <t>담당자</t>
        </is>
      </c>
      <c r="D10" s="23" t="inlineStr">
        <is>
          <t>[02_주간완료보고서] 제출 — 증빙 필수</t>
        </is>
      </c>
      <c r="E10" s="22" t="inlineStr">
        <is>
          <t>미제출 = 미완료 처리</t>
        </is>
      </c>
    </row>
    <row r="11" ht="30" customHeight="1" s="49">
      <c r="B11" s="22" t="inlineStr">
        <is>
          <t>금 18:00</t>
        </is>
      </c>
      <c r="C11" s="22" t="inlineStr">
        <is>
          <t>대표/부대표</t>
        </is>
      </c>
      <c r="D11" s="23" t="inlineStr">
        <is>
          <t>§4 검수기준으로 검수 → [03_관리대장] 기록 → 다음 주 지시 반영</t>
        </is>
      </c>
      <c r="E11" s="23" t="inlineStr">
        <is>
          <t>-</t>
        </is>
      </c>
    </row>
    <row r="14">
      <c r="B14" s="34" t="inlineStr">
        <is>
          <t>■ 업무지시서 구성 (6개 챕터)</t>
        </is>
      </c>
    </row>
    <row r="15" ht="19.5" customHeight="1" s="49">
      <c r="B15" s="46" t="inlineStr">
        <is>
          <t>챕터</t>
        </is>
      </c>
      <c r="C15" s="46" t="inlineStr">
        <is>
          <t>내용</t>
        </is>
      </c>
      <c r="D15" s="46" t="inlineStr">
        <is>
          <t>작성 주기</t>
        </is>
      </c>
      <c r="E15" s="46" t="inlineStr">
        <is>
          <t>미작성 시</t>
        </is>
      </c>
    </row>
    <row r="16" ht="25.5" customHeight="1" s="49">
      <c r="B16" s="23" t="inlineStr">
        <is>
          <t>1. 지시 배경 및 목적</t>
        </is>
      </c>
      <c r="C16" s="22" t="inlineStr">
        <is>
          <t>왜 이 업무가 필요한가 · 이번 주 목표 · 실패 시 손실</t>
        </is>
      </c>
      <c r="D16" s="22" t="inlineStr">
        <is>
          <t>매주 갱신</t>
        </is>
      </c>
      <c r="E16" s="22" t="inlineStr">
        <is>
          <t>우선순위 판단 불가</t>
        </is>
      </c>
    </row>
    <row r="17" ht="25.5" customHeight="1" s="49">
      <c r="B17" s="23" t="inlineStr">
        <is>
          <t>2. 업무 범위</t>
        </is>
      </c>
      <c r="C17" s="22" t="inlineStr">
        <is>
          <t>포함 / 제외 / 전제조건</t>
        </is>
      </c>
      <c r="D17" s="22" t="inlineStr">
        <is>
          <t>매주 갱신</t>
        </is>
      </c>
      <c r="E17" s="22" t="inlineStr">
        <is>
          <t>과잉 수행 또는 누락</t>
        </is>
      </c>
    </row>
    <row r="18" ht="25.5" customHeight="1" s="49">
      <c r="B18" s="23" t="inlineStr">
        <is>
          <t>3. 지시 업무</t>
        </is>
      </c>
      <c r="C18" s="22" t="inlineStr">
        <is>
          <t>업무명·완료기준·산출물·마감·가중치 (본문)</t>
        </is>
      </c>
      <c r="D18" s="22" t="inlineStr">
        <is>
          <t>매주 갱신</t>
        </is>
      </c>
      <c r="E18" s="22" t="inlineStr">
        <is>
          <t>지시 성립 안 됨</t>
        </is>
      </c>
    </row>
    <row r="19" ht="25.5" customHeight="1" s="49">
      <c r="B19" s="23" t="inlineStr">
        <is>
          <t>4. 검수 기준</t>
        </is>
      </c>
      <c r="C19" s="22" t="inlineStr">
        <is>
          <t>합격/보완/불합격 판정 기준</t>
        </is>
      </c>
      <c r="D19" s="23" t="inlineStr">
        <is>
          <t>1회 작성 후 재사용</t>
        </is>
      </c>
      <c r="E19" s="22" t="inlineStr">
        <is>
          <t>담당자 자기검열 불가</t>
        </is>
      </c>
    </row>
    <row r="20" ht="25.5" customHeight="1" s="49">
      <c r="B20" s="23" t="inlineStr">
        <is>
          <t>5. 제공 자원 및 권한</t>
        </is>
      </c>
      <c r="C20" s="22" t="inlineStr">
        <is>
          <t>예산 한도·장비·계정·자율 결정 범위</t>
        </is>
      </c>
      <c r="D20" s="23" t="inlineStr">
        <is>
          <t>1회 작성 후 재사용</t>
        </is>
      </c>
      <c r="E20" s="22" t="inlineStr">
        <is>
          <t>매번 대표에게 질문</t>
        </is>
      </c>
    </row>
    <row r="21" ht="25.5" customHeight="1" s="49">
      <c r="B21" s="23" t="inlineStr">
        <is>
          <t>6. 제약 및 주의사항</t>
        </is>
      </c>
      <c r="C21" s="22" t="inlineStr">
        <is>
          <t>안전·비용·보안·대외 — 위반 시 무조건 불합격</t>
        </is>
      </c>
      <c r="D21" s="23" t="inlineStr">
        <is>
          <t>1회 작성 후 재사용</t>
        </is>
      </c>
      <c r="E21" s="22" t="inlineStr">
        <is>
          <t>사고·비용 리스크</t>
        </is>
      </c>
    </row>
    <row r="22" ht="25.5" customHeight="1" s="49">
      <c r="B22" s="22" t="inlineStr">
        <is>
          <t>접수확인</t>
        </is>
      </c>
      <c r="C22" s="22" t="inlineStr">
        <is>
          <t>담당자가 본인 언어로 재정의 (월 12:00까지)</t>
        </is>
      </c>
      <c r="D22" s="22" t="inlineStr">
        <is>
          <t>매주</t>
        </is>
      </c>
      <c r="E22" s="22" t="inlineStr">
        <is>
          <t>재지시</t>
        </is>
      </c>
    </row>
    <row r="24">
      <c r="B24" s="34" t="inlineStr">
        <is>
          <t>■ 원칙</t>
        </is>
      </c>
    </row>
    <row r="25" ht="36" customHeight="1" s="49">
      <c r="B25" s="53" t="inlineStr">
        <is>
          <t>· 지시자: 완료기준을 숫자·파일·시험결과로 쓸 것. '개발 완료'는 완료기준이 아님.</t>
        </is>
      </c>
    </row>
    <row r="26" ht="36" customHeight="1" s="49">
      <c r="B26" s="53" t="inlineStr">
        <is>
          <t>· 지시자: §4~6은 한 번 채우면 매주 그대로 복사. 매주 새로 쓰는 것은 §1~3뿐임.</t>
        </is>
      </c>
    </row>
    <row r="27" ht="36" customHeight="1" s="49">
      <c r="B27" s="53" t="inlineStr">
        <is>
          <t>· 담당자: 증빙(파일·링크·로그·측정값) 없는 진행률은 0%로 처리됨.</t>
        </is>
      </c>
    </row>
    <row r="28" ht="48" customHeight="1" s="49">
      <c r="B28" s="53" t="inlineStr">
        <is>
          <t>· 담당자: 미완료 시 '무엇 때문에' 막혔는지 원인을 쓸 것. 사유 없는 미완료는 귀책.</t>
        </is>
      </c>
    </row>
    <row r="29" ht="48" customHeight="1" s="49">
      <c r="B29" s="53" t="inlineStr">
        <is>
          <t>· 파일명: BRING_주간_[담당자]_[주차].xlsx  (예: BRING_주간_황우중_2026-W29.xlsx)</t>
        </is>
      </c>
    </row>
    <row r="30" ht="36" customHeight="1" s="49">
      <c r="B30" s="53" t="inlineStr">
        <is>
          <t>· 색상: 노란색=입력 / 초록색=자동계산(수정금지) / 주황색=대표 전용</t>
        </is>
      </c>
    </row>
  </sheetData>
  <mergeCells count="6">
    <mergeCell ref="B26:E26"/>
    <mergeCell ref="B27:E27"/>
    <mergeCell ref="B30:E30"/>
    <mergeCell ref="B29:E29"/>
    <mergeCell ref="B25:E25"/>
    <mergeCell ref="B28:E2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tabSelected="1" zoomScaleNormal="100" workbookViewId="0">
      <selection activeCell="C22" sqref="C22:J22"/>
    </sheetView>
  </sheetViews>
  <sheetFormatPr baseColWidth="8" defaultColWidth="8.7109375" defaultRowHeight="15"/>
  <cols>
    <col width="24.7109375" customWidth="1" style="49" min="2" max="2"/>
    <col width="20" customWidth="1" style="49" min="3" max="3"/>
    <col width="30" customWidth="1" style="49" min="4" max="4"/>
    <col width="40" customWidth="1" style="49" min="5" max="5"/>
    <col width="26" customWidth="1" style="49" min="6" max="6"/>
    <col width="31.5703125" customWidth="1" style="49" min="7" max="7"/>
    <col width="20" customWidth="1" style="49" min="8" max="8"/>
    <col width="24.85546875" customWidth="1" style="49" min="9" max="9"/>
    <col width="12.7109375" customWidth="1" style="49" min="10" max="10"/>
    <col width="24.42578125" customWidth="1" style="49" min="11" max="11"/>
  </cols>
  <sheetData>
    <row r="1" ht="33.75" customHeight="1" s="49">
      <c r="B1" s="50" t="inlineStr">
        <is>
          <t>업 무 지 시 서</t>
        </is>
      </c>
    </row>
    <row r="2">
      <c r="B2" s="52" t="inlineStr">
        <is>
          <t>Work Instruction  |  브링엔지니어링 주식회사  |  본 지시서는 범위·완료기준·자원·제약을 확정하는 사내 공식 문서임</t>
        </is>
      </c>
    </row>
    <row r="4" ht="19.5" customHeight="1" s="49">
      <c r="B4" s="4" t="inlineStr">
        <is>
          <t>문서번호</t>
        </is>
      </c>
      <c r="C4" s="47" t="inlineStr">
        <is>
          <t>BE-2026-W36-01</t>
        </is>
      </c>
      <c r="D4" s="4" t="inlineStr">
        <is>
          <t>주차</t>
        </is>
      </c>
      <c r="E4" s="47" t="inlineStr">
        <is>
          <t>2026-W36</t>
        </is>
      </c>
      <c r="F4" s="4" t="inlineStr">
        <is>
          <t>대상기간</t>
        </is>
      </c>
      <c r="G4" s="47" t="inlineStr">
        <is>
          <t>08-31(월)~09-04(금)</t>
        </is>
      </c>
      <c r="H4" s="4" t="inlineStr">
        <is>
          <t>보고기한</t>
        </is>
      </c>
      <c r="I4" s="47" t="inlineStr">
        <is>
          <t>09-04(금) 17:00</t>
        </is>
      </c>
      <c r="J4" s="4" t="inlineStr">
        <is>
          <t>접수확인 기한</t>
        </is>
      </c>
      <c r="K4" s="47" t="inlineStr">
        <is>
          <t>08-31(월) 12:00</t>
        </is>
      </c>
    </row>
    <row r="5" ht="19.5" customFormat="1" customHeight="1" s="39">
      <c r="B5" s="35" t="inlineStr">
        <is>
          <t>수신 (담당자)</t>
        </is>
      </c>
      <c r="C5" s="110" t="inlineStr">
        <is>
          <t>김 현 진</t>
        </is>
      </c>
      <c r="D5" s="35" t="inlineStr">
        <is>
          <t>소속/직무</t>
        </is>
      </c>
      <c r="E5" s="110" t="inlineStr">
        <is>
          <t>운영관리팀장 / CRM·고객센터 관리</t>
        </is>
      </c>
      <c r="F5" s="35" t="inlineStr">
        <is>
          <t>발신 (지시자)</t>
        </is>
      </c>
      <c r="G5" s="37" t="inlineStr">
        <is>
          <t>대표 서창환</t>
        </is>
      </c>
      <c r="H5" s="35" t="inlineStr">
        <is>
          <t>검수자</t>
        </is>
      </c>
      <c r="I5" s="38" t="inlineStr">
        <is>
          <t>팀장 서창환</t>
        </is>
      </c>
      <c r="J5" s="35" t="inlineStr">
        <is>
          <t>문서등급</t>
        </is>
      </c>
      <c r="K5" s="36" t="inlineStr">
        <is>
          <t>사내</t>
        </is>
      </c>
    </row>
    <row r="7" ht="19.5" customHeight="1" s="49">
      <c r="B7" s="48" t="inlineStr">
        <is>
          <t>1. 지시 배경 및 목적</t>
        </is>
      </c>
    </row>
    <row r="8" ht="86.25" customHeight="1" s="49">
      <c r="B8" s="45" t="inlineStr">
        <is>
          <t>배경
(왜 지금 이 업무인가)</t>
        </is>
      </c>
      <c r="C8" s="70" t="inlineStr">
        <is>
          <t>김현진 팀장은 고객 문의부터 상담·견적·계약·사후관리까지의 영업 전 과정이 'CRM 안에서' 이뤄지도록 구축·관리합니다. 입·퇴실 패키지의 상품 정의(상품화)는 대표가 직접 진행하며, 현진 팀장은 우리가 정리해 둔 운영 프로세스를 상품화 형태로 세분화해 CRM에 반영합니다.
또한 CRM에 쌓인 데이터를 매달 '월간보고서'로 받아볼 수 있게 만들고, 고객 상담 대응은 고객센터용으로 별도 구축하며(CRM·마케팅·고객센터 3축), 문의~계약 진행상황 점검은 사람이 매일 수기로 하지 않고 AI 자동화로 처리되게 합니다. 추가로 마감이 있는 상지대 광고비 100만 원 지원 신청을 준비합니다.</t>
        </is>
      </c>
      <c r="D8" s="41" t="n"/>
      <c r="E8" s="41" t="n"/>
      <c r="F8" s="41" t="n"/>
      <c r="G8" s="41" t="n"/>
      <c r="H8" s="41" t="n"/>
      <c r="I8" s="41" t="n"/>
      <c r="J8" s="41" t="n"/>
      <c r="K8" s="42" t="n"/>
    </row>
    <row r="9" ht="25.5" customHeight="1" s="49">
      <c r="B9" s="45" t="inlineStr">
        <is>
          <t>이번 주 목표
(한 문장)</t>
        </is>
      </c>
      <c r="C9" s="73" t="inlineStr">
        <is>
          <t>운영 프로세스를 상품화해 CRM에 반영하고, 상담·견적·계약·사후관리가 CRM 안에서 이뤄지게 하며, 월간보고서 자동 산출·고객센터 대응 구축·진행상황 AI 자동화·상지대 지원 신청을 진행합니다.</t>
        </is>
      </c>
      <c r="D9" s="41" t="n"/>
      <c r="E9" s="41" t="n"/>
      <c r="F9" s="41" t="n"/>
      <c r="G9" s="41" t="n"/>
      <c r="H9" s="41" t="n"/>
      <c r="I9" s="41" t="n"/>
      <c r="J9" s="41" t="n"/>
      <c r="K9" s="42" t="n"/>
    </row>
    <row r="10" ht="72.75" customHeight="1" s="49">
      <c r="B10" s="45" t="inlineStr">
        <is>
          <t>미달 시 손실
(회사 관점)</t>
        </is>
      </c>
      <c r="C10" s="73" t="inlineStr">
        <is>
          <t>프로세스가 CRM에 반영되지 않으면 문의가 와도 즉시 견적·관리가 어렵고, CRM·월간보고서가 없으면 상담·견적·재연락이 누락되고 월 단위 성과를 파악할 수 없습니다. 상지대 광고비 지원은 마감이 있어 늦으면 100만 원 기회를 놓칩니다.</t>
        </is>
      </c>
      <c r="D10" s="41" t="n"/>
      <c r="E10" s="41" t="n"/>
      <c r="F10" s="41" t="n"/>
      <c r="G10" s="41" t="n"/>
      <c r="H10" s="41" t="n"/>
      <c r="I10" s="41" t="n"/>
      <c r="J10" s="41" t="n"/>
      <c r="K10" s="42" t="n"/>
    </row>
    <row r="12" ht="19.5" customHeight="1" s="49">
      <c r="B12" s="48" t="inlineStr">
        <is>
          <t>2. 업무 범위</t>
        </is>
      </c>
    </row>
    <row r="13" ht="19.5" customHeight="1" s="49">
      <c r="B13" s="46" t="inlineStr">
        <is>
          <t>구분</t>
        </is>
      </c>
      <c r="C13" s="46" t="inlineStr">
        <is>
          <t>내용</t>
        </is>
      </c>
      <c r="D13" s="41" t="n"/>
      <c r="E13" s="41" t="n"/>
      <c r="F13" s="41" t="n"/>
      <c r="G13" s="41" t="n"/>
      <c r="H13" s="41" t="n"/>
      <c r="I13" s="41" t="n"/>
      <c r="J13" s="42" t="n"/>
      <c r="K13" s="46" t="inlineStr">
        <is>
          <t>판단 주체</t>
        </is>
      </c>
    </row>
    <row r="14" ht="40.5" customHeight="1" s="49">
      <c r="B14" s="94" t="inlineStr">
        <is>
          <t>포함 범위</t>
        </is>
      </c>
      <c r="C14" s="111" t="inlineStr">
        <is>
          <t>1. CRM 구축·관리 — 운영 프로세스를 상품화 형태로 세분화해 CRM에 반영 (모든 업무가 CRM 안에서)</t>
        </is>
      </c>
      <c r="D14" s="41" t="n"/>
      <c r="E14" s="41" t="n"/>
      <c r="F14" s="41" t="n"/>
      <c r="G14" s="41" t="n"/>
      <c r="H14" s="41" t="n"/>
      <c r="I14" s="41" t="n"/>
      <c r="J14" s="42" t="n"/>
      <c r="K14" s="8" t="inlineStr">
        <is>
          <t>지시자</t>
        </is>
      </c>
    </row>
    <row r="15" ht="40.5" customHeight="1" s="49">
      <c r="B15" s="112" t="n"/>
      <c r="C15" s="111" t="inlineStr">
        <is>
          <t>2. 고객센터용 상담 대응 페이지 별도 구축 (CRM·마케팅과 구분되는 고객센터 축)</t>
        </is>
      </c>
      <c r="D15" s="41" t="n"/>
      <c r="E15" s="41" t="n"/>
      <c r="F15" s="41" t="n"/>
      <c r="G15" s="41" t="n"/>
      <c r="H15" s="41" t="n"/>
      <c r="I15" s="41" t="n"/>
      <c r="J15" s="42" t="n"/>
      <c r="K15" s="8" t="n"/>
    </row>
    <row r="16" ht="40.5" customHeight="1" s="49">
      <c r="B16" s="112" t="n"/>
      <c r="C16" s="111" t="inlineStr">
        <is>
          <t>3. 견적·계약 진행 정비 (CRM 내에서 연결)</t>
        </is>
      </c>
      <c r="D16" s="41" t="n"/>
      <c r="E16" s="41" t="n"/>
      <c r="F16" s="41" t="n"/>
      <c r="G16" s="41" t="n"/>
      <c r="H16" s="41" t="n"/>
      <c r="I16" s="41" t="n"/>
      <c r="J16" s="42" t="n"/>
      <c r="K16" s="8" t="n"/>
    </row>
    <row r="17" ht="40.5" customHeight="1" s="49">
      <c r="B17" s="112" t="n"/>
      <c r="C17" s="111" t="inlineStr">
        <is>
          <t>4. 문의~계약 진행상황 관리 AI 자동화 (매일 점검·지연고객 알림)</t>
        </is>
      </c>
      <c r="D17" s="41" t="n"/>
      <c r="E17" s="41" t="n"/>
      <c r="F17" s="41" t="n"/>
      <c r="G17" s="41" t="n"/>
      <c r="H17" s="41" t="n"/>
      <c r="I17" s="41" t="n"/>
      <c r="J17" s="42" t="n"/>
      <c r="K17" s="8" t="n"/>
    </row>
    <row r="18" ht="40.5" customHeight="1" s="49">
      <c r="B18" s="112" t="n"/>
      <c r="C18" s="111" t="inlineStr">
        <is>
          <t>5. CRM 월간보고서 자동 산출 기능 만들기</t>
        </is>
      </c>
      <c r="D18" s="41" t="n"/>
      <c r="E18" s="41" t="n"/>
      <c r="F18" s="41" t="n"/>
      <c r="G18" s="41" t="n"/>
      <c r="H18" s="41" t="n"/>
      <c r="I18" s="41" t="n"/>
      <c r="J18" s="42" t="n"/>
      <c r="K18" s="8" t="n"/>
    </row>
    <row r="19" ht="40.5" customHeight="1" s="49">
      <c r="B19" s="112" t="n"/>
      <c r="C19" s="113" t="inlineStr">
        <is>
          <t>6. 입·퇴실 패키지 전체 과정 테스트 (가상고객 1건 end-to-end)</t>
        </is>
      </c>
      <c r="D19" s="41" t="n"/>
      <c r="E19" s="41" t="n"/>
      <c r="F19" s="41" t="n"/>
      <c r="G19" s="41" t="n"/>
      <c r="H19" s="41" t="n"/>
      <c r="I19" s="41" t="n"/>
      <c r="J19" s="42" t="n"/>
      <c r="K19" s="8" t="n"/>
    </row>
    <row r="20" ht="39.75" customHeight="1" s="49">
      <c r="B20" s="112" t="n"/>
      <c r="C20" s="111" t="inlineStr">
        <is>
          <t>7. 상지대학교 광고비 100만 원 지원금 신청 (마감 확인·초안·첨부·검수)</t>
        </is>
      </c>
      <c r="D20" s="41" t="n"/>
      <c r="E20" s="41" t="n"/>
      <c r="F20" s="41" t="n"/>
      <c r="G20" s="41" t="n"/>
      <c r="H20" s="41" t="n"/>
      <c r="I20" s="41" t="n"/>
      <c r="J20" s="42" t="n"/>
      <c r="K20" s="8" t="n"/>
    </row>
    <row r="21" ht="33.75" customHeight="1" s="49">
      <c r="B21" s="112" t="n"/>
      <c r="C21" s="113" t="n"/>
      <c r="D21" s="41" t="n"/>
      <c r="E21" s="41" t="n"/>
      <c r="F21" s="41" t="n"/>
      <c r="G21" s="41" t="n"/>
      <c r="H21" s="41" t="n"/>
      <c r="I21" s="41" t="n"/>
      <c r="J21" s="42" t="n"/>
      <c r="K21" s="8" t="n"/>
    </row>
    <row r="22" ht="108" customHeight="1" s="49">
      <c r="B22" s="106" t="inlineStr">
        <is>
          <t>제외 범위</t>
        </is>
      </c>
      <c r="C22" s="105" t="inlineStr">
        <is>
          <t>· 입·퇴실 패키지 상품 정의(상품화)는 대표가 직접 담당 → 이번 범위 제외
· 잠재고객·제휴처 영업도 이번 범위 제외
대표 확인/승인 후에만 진행:
· 가격 변경·할인 (견적 가격 변경은 대표 승인 후)
· 외부 기관(상지대 등) 최종 제출
· 개인정보 포함 자료의 공개 링크 사용 (금지)
· 계약 실패 고객 정보 삭제 (금지 — 실패 이유 기록)</t>
        </is>
      </c>
      <c r="D22" s="41" t="n"/>
      <c r="E22" s="41" t="n"/>
      <c r="F22" s="41" t="n"/>
      <c r="G22" s="41" t="n"/>
      <c r="H22" s="41" t="n"/>
      <c r="I22" s="41" t="n"/>
      <c r="J22" s="42" t="n"/>
      <c r="K22" s="8" t="inlineStr">
        <is>
          <t>지시자</t>
        </is>
      </c>
    </row>
    <row r="23" ht="108" customHeight="1" s="49">
      <c r="B23" s="45" t="inlineStr">
        <is>
          <t>전제 조건</t>
        </is>
      </c>
      <c r="C23" s="105" t="inlineStr">
        <is>
          <t>· 상담·견적·계약·사후관리가 모두 하나의 CRM 안에서 연결되도록 구성합니다
· 모든 고객에게 반드시 3가지: ① 현재 진행상태 ② 담당자 ③ 다음 행동·예정일
· 신규 문의는 당일 CRM 등록, 상담 후 즉시 기록, 계약 실패도 삭제하지 말고 이유 기록
· 진행상황 점검·지연고객 관리는 사람이 매일 수기로 하지 않고 AI 자동화로 처리되도록 설계합니다
· 학생 신분으로 가용시간이 변동될 수 있으므로 중요도 높은 업무(상지대 지원 마감·CRM)부터 하고 초과분은 다음 주로 이월
· 세부 마감은 별도로 두지 않고 금요일 주간보고로 정리 (단, 상지대 지원은 공고 마감을 우선)</t>
        </is>
      </c>
      <c r="D23" s="41" t="n"/>
      <c r="E23" s="41" t="n"/>
      <c r="F23" s="41" t="n"/>
      <c r="G23" s="41" t="n"/>
      <c r="H23" s="41" t="n"/>
      <c r="I23" s="41" t="n"/>
      <c r="J23" s="42" t="n"/>
      <c r="K23" s="8" t="inlineStr">
        <is>
          <t>지시자</t>
        </is>
      </c>
    </row>
    <row r="24" ht="108" customHeight="1" s="49">
      <c r="B24" s="45" t="inlineStr">
        <is>
          <t>범위 변경</t>
        </is>
      </c>
      <c r="C24" s="102" t="inlineStr">
        <is>
          <t>진행 중 대표 판단·승인이 필요하거나 범위를 벗어나는 사항이 생기면, 상황을 정리해 대표에게 보고 후 진행합니다.</t>
        </is>
      </c>
      <c r="D24" s="41" t="n"/>
      <c r="E24" s="41" t="n"/>
      <c r="F24" s="41" t="n"/>
      <c r="G24" s="41" t="n"/>
      <c r="H24" s="41" t="n"/>
      <c r="I24" s="41" t="n"/>
      <c r="J24" s="42" t="n"/>
      <c r="K24" s="8" t="inlineStr">
        <is>
          <t>대표</t>
        </is>
      </c>
    </row>
    <row r="25" ht="15" customHeight="1" s="49"/>
    <row r="26" ht="16.5" customHeight="1" s="49">
      <c r="B26" s="90" t="inlineStr">
        <is>
          <t>3. 지시 업무  —  완료기준·산출물·가중치가 비면 지시 성립하지 않음</t>
        </is>
      </c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</row>
    <row r="27" ht="24" customHeight="1" s="49">
      <c r="B27" s="13" t="inlineStr">
        <is>
          <t>No</t>
        </is>
      </c>
      <c r="C27" s="46" t="inlineStr">
        <is>
          <t>업무명</t>
        </is>
      </c>
      <c r="D27" s="46" t="inlineStr">
        <is>
          <t>업무 목적 및 주요 내용</t>
        </is>
      </c>
      <c r="E27" s="46" t="inlineStr">
        <is>
          <t>완료기준 (측정 가능하게 — 무엇이 되면 끝인가)</t>
        </is>
      </c>
      <c r="F27" s="46" t="inlineStr">
        <is>
          <t>제출물</t>
        </is>
      </c>
      <c r="G27" s="46" t="inlineStr">
        <is>
          <t>제출 위치</t>
        </is>
      </c>
      <c r="H27" s="46" t="inlineStr">
        <is>
          <t>마감</t>
        </is>
      </c>
      <c r="I27" s="46" t="inlineStr">
        <is>
          <t>우선
순위</t>
        </is>
      </c>
      <c r="J27" s="46" t="inlineStr">
        <is>
          <t>예상
소요(h)</t>
        </is>
      </c>
      <c r="K27" s="46" t="inlineStr">
        <is>
          <t>가중치
(%)</t>
        </is>
      </c>
    </row>
    <row r="28" ht="105" customHeight="1" s="49">
      <c r="B28" s="17" t="n">
        <v>1</v>
      </c>
      <c r="C28" s="47" t="inlineStr">
        <is>
          <t>CRM 구축·관리 (운영 프로세스 상품화 반영)</t>
        </is>
      </c>
      <c r="D28" s="47" t="inlineStr">
        <is>
          <t>정리해 둔 운영 프로세스를 상품화 형태(상품정의서·소개서·상담문구·가격표처럼)로 더 세분화해 CRM에 반영하고, 상담·견적·계약·사후관리가 모두 CRM 안에서 이뤄지도록 구성합니다.</t>
        </is>
      </c>
      <c r="E28" s="1" t="inlineStr">
        <is>
          <t>① CRM 진행 14단계와 고객별 필수 입력정보(고객·연락처·유형·건물/주소/용도·면적·입퇴실일·필요서비스·채널·상담내용·견적/계약금액·진행상태·담당자·다음연락일·서류/사진 링크·특이사항·계약여부·실패이유)를 반영합니다.
② 운영 프로세스를 서비스·단계별로 세분화해 CRM 항목·화면 구성으로 만듭니다.
③ 상담·견적·계약·사후관리가 하나의 CRM 안에서 연결되도록 구조화합니다.
④ 관리기준(당일 등록·담당자 지정·다음 연락일·실패 이유 기록·개인정보 공개 금지)을 적용합니다.</t>
        </is>
      </c>
      <c r="F28" s="47" t="inlineStr">
        <is>
          <t>01_김현진_CRM_구축_프로세스반영_W36_v1.xlsx</t>
        </is>
      </c>
      <c r="G28" s="6" t="inlineStr">
        <is>
          <t>브링 구글 드라이브</t>
        </is>
      </c>
      <c r="H28" s="107" t="inlineStr">
        <is>
          <t>09-04(금) 17:00</t>
        </is>
      </c>
      <c r="I28" s="47" t="inlineStr">
        <is>
          <t>높음</t>
        </is>
      </c>
      <c r="J28" s="114" t="n">
        <v>6</v>
      </c>
      <c r="K28" s="19" t="n">
        <v>0.22</v>
      </c>
    </row>
    <row r="29" ht="123" customHeight="1" s="49">
      <c r="B29" s="17" t="n">
        <v>2</v>
      </c>
      <c r="C29" s="47" t="inlineStr">
        <is>
          <t>고객센터용 상담 대응 페이지 구축</t>
        </is>
      </c>
      <c r="D29" s="47" t="inlineStr">
        <is>
          <t>고객 상담이 왔을 때 어떻게 대처하는지를 미리 정의해 고객센터용으로 별도 구축합니다. (CRM·마케팅과 구분되는 고객센터 축)</t>
        </is>
      </c>
      <c r="E29" s="1" t="inlineStr">
        <is>
          <t>① 문의 유형별 대응 시나리오(첫 응대·부재 시 문자·정보/사진 요청·현장방문 제안·견적/계약 안내·불만·환불/재작업 요청)를 정리합니다.
② 상담 확인 체크리스트(입퇴실·위치·유형·면적·희망일·현장상태·청소범위·폐기물·주차/출입·예산/완료기준)를 만듭니다.
③ 상담 문구 세트(첫 문의·부재 문자·사진 요청·추가정보 요청·현장방문·견적 발송/확인·보류 재연락·계약 확정·일정 안내·리뷰 요청)를 작성합니다.
④ 누구나 같은 기준으로 응대할 수 있도록 고객센터용 페이지/문서로 정리합니다.</t>
        </is>
      </c>
      <c r="F29" s="47" t="inlineStr">
        <is>
          <t>02_김현진_고객센터_상담대응_구축_W36_v1.xlsx</t>
        </is>
      </c>
      <c r="G29" s="6" t="inlineStr">
        <is>
          <t>브링 구글 드라이브</t>
        </is>
      </c>
      <c r="H29" s="107" t="inlineStr">
        <is>
          <t>09-04(금) 17:00</t>
        </is>
      </c>
      <c r="I29" s="47" t="inlineStr">
        <is>
          <t>높음</t>
        </is>
      </c>
      <c r="J29" s="114" t="n">
        <v>4</v>
      </c>
      <c r="K29" s="19" t="n">
        <v>0.14</v>
      </c>
    </row>
    <row r="30" ht="84" customHeight="1" s="49">
      <c r="B30" s="17" t="n">
        <v>3</v>
      </c>
      <c r="C30" s="47" t="inlineStr">
        <is>
          <t>견적·계약 진행 정비 (CRM 내)</t>
        </is>
      </c>
      <c r="D30" s="47" t="inlineStr">
        <is>
          <t>견적 작성·발송·계약 확정 절차를 CRM 흐름 안에서 정비합니다.</t>
        </is>
      </c>
      <c r="E30" s="1" t="inlineStr">
        <is>
          <t>① 견적 전 확인사항(서비스 범위·면적·오염상태·난이도·인원·작업시간·외주/협력비·소모품·이동·폐기물·옵션·예상 원가/마진)을 정리합니다.
② 견적 발송 후 관리(CRM 견적금액·견적서 링크·발송일·유효기간·고객 확인·익일 확인·3일 후 재연락·할인요청 기록·가격변경은 대표 승인·실패 이유 기록).
③ 계약 확정 후 절차(계약금액·범위 재확인·일정·결제방식·고객 준비사항·문서 CRM 연결·담당자 전달·변경/취소 조건 안내).</t>
        </is>
      </c>
      <c r="F30" s="47" t="inlineStr">
        <is>
          <t>03_김현진_견적계약_진행정비_W36_v1.xlsx</t>
        </is>
      </c>
      <c r="G30" s="6" t="inlineStr">
        <is>
          <t>브링 구글 드라이브</t>
        </is>
      </c>
      <c r="H30" s="107" t="inlineStr">
        <is>
          <t>09-04(금) 17:00</t>
        </is>
      </c>
      <c r="I30" s="47" t="inlineStr">
        <is>
          <t>보통</t>
        </is>
      </c>
      <c r="J30" s="114" t="n">
        <v>3</v>
      </c>
      <c r="K30" s="19" t="n">
        <v>0.12</v>
      </c>
    </row>
    <row r="31" ht="90" customHeight="1" s="49">
      <c r="B31" s="17" t="n">
        <v>4</v>
      </c>
      <c r="C31" s="47" t="inlineStr">
        <is>
          <t>문의~계약 진행상황 관리 AI 자동화</t>
        </is>
      </c>
      <c r="D31" s="47" t="inlineStr">
        <is>
          <t>진행상황 점검·지연고객 관리를 사람이 매일 수기로 하지 않고 AI 자동화로 처리되도록 설계·구축합니다.</t>
        </is>
      </c>
      <c r="E31" s="1" t="inlineStr">
        <is>
          <t>① 자동 점검 대상을 정의합니다(신규/미답변 문의·정보 대기·미발송 견적·재연락 예정·계약 대기·일정 조율·지연 고객).
② 자동화 규칙·트리거·알림 방식을 정의합니다(예: 다음 연락일 도래·N일 무응답 시 알림, 대표 결정 필요 건 자동 표시).
③ 기존 FM 자동화·CRM과 연동할 지점을 정의합니다.
④ 1차로 동작하는 자동화 또는 바로 실행 가능한 자동화 설계안을 제출합니다.</t>
        </is>
      </c>
      <c r="F31" s="47" t="inlineStr">
        <is>
          <t>04_김현진_진행상황_AI자동화_W36_v1.pdf</t>
        </is>
      </c>
      <c r="G31" s="108" t="inlineStr">
        <is>
          <t>브링 구글 드라이브</t>
        </is>
      </c>
      <c r="H31" s="107" t="inlineStr">
        <is>
          <t>09-04(금) 17:00</t>
        </is>
      </c>
      <c r="I31" s="47" t="inlineStr">
        <is>
          <t>보통</t>
        </is>
      </c>
      <c r="J31" s="114" t="n">
        <v>4</v>
      </c>
      <c r="K31" s="19" t="n">
        <v>0.14</v>
      </c>
    </row>
    <row r="32" ht="69" customHeight="1" s="49">
      <c r="B32" s="17" t="n">
        <v>5</v>
      </c>
      <c r="C32" s="47" t="inlineStr">
        <is>
          <t>CRM 월간보고서 자동 산출 기능</t>
        </is>
      </c>
      <c r="D32" s="47" t="inlineStr">
        <is>
          <t>CRM에 쌓인 데이터를 매달 월간보고서 형식으로 받아볼 수 있게 만듭니다.</t>
        </is>
      </c>
      <c r="E32" s="1" t="inlineStr">
        <is>
          <t>① 월간보고서 항목을 정의합니다(신규문의·상담·견적·계약 수·계약금액·전환율·채널별 성과·계약 실패 이유·사후관리·다음 달 파이프라인).
② CRM에서 월 단위로 자동 집계되는 구조를 설계합니다.
③ 보고서 양식(요약+표) 1개를 확정합니다.
④ 이번 달(또는 샘플) 1개월치 월간보고서 초안을 산출합니다.</t>
        </is>
      </c>
      <c r="F32" s="47" t="inlineStr">
        <is>
          <t>05_김현진_CRM_월간보고서_기능_W36_v1.xlsx</t>
        </is>
      </c>
      <c r="G32" s="108" t="inlineStr">
        <is>
          <t>브링 구글 드라이브</t>
        </is>
      </c>
      <c r="H32" s="107" t="inlineStr">
        <is>
          <t>09-04(금) 17:00</t>
        </is>
      </c>
      <c r="I32" s="47" t="inlineStr">
        <is>
          <t>보통</t>
        </is>
      </c>
      <c r="J32" s="114" t="n">
        <v>4</v>
      </c>
      <c r="K32" s="19" t="n">
        <v>0.14</v>
      </c>
    </row>
    <row r="33" ht="90" customHeight="1" s="49">
      <c r="B33" s="17" t="n"/>
      <c r="C33" s="47" t="inlineStr">
        <is>
          <t>입·퇴실 패키지 전체 과정 테스트 (가상고객 1건)</t>
        </is>
      </c>
      <c r="D33" s="47" t="inlineStr">
        <is>
          <t>실제 또는 가상 고객 1건을 CRM에 등록해 전체 과정을 시험하고 개선점을 반영합니다. (상품 정의는 대표 제공분 활용)</t>
        </is>
      </c>
      <c r="E33" s="1" t="inlineStr">
        <is>
          <t>① 신규 문의→기본정보→상담→현장정보/사진→견적 작성/발송→계약 확정→일정→서비스 진행→완료 자료→결제 완료→리뷰 요청→사후관리까지 1건을 끝까지 진행합니다.
② 테스트 중 확인(빠진 정보·중복 항목·불명확한 단계·없는 서류/안내문·담당자 미지정·설명 어려운 내용·대표 승인 필요 지점)을 정리합니다.
③ 결과를 CRM·업무 흐름·고객센터 대응에 반영합니다.</t>
        </is>
      </c>
      <c r="F33" s="47" t="inlineStr">
        <is>
          <t>06_김현진_패키지_전과정_테스트_W36_v1.pdf</t>
        </is>
      </c>
      <c r="G33" s="6" t="inlineStr">
        <is>
          <t>브링 구글 드라이브</t>
        </is>
      </c>
      <c r="H33" s="107" t="inlineStr">
        <is>
          <t>09-04(금) 17:00</t>
        </is>
      </c>
      <c r="I33" s="47" t="inlineStr">
        <is>
          <t>보통</t>
        </is>
      </c>
      <c r="J33" s="114" t="n">
        <v>3</v>
      </c>
      <c r="K33" s="19" t="n">
        <v>0.08</v>
      </c>
    </row>
    <row r="34" ht="90" customHeight="1" s="49">
      <c r="B34" s="17" t="n"/>
      <c r="C34" s="47" t="inlineStr">
        <is>
          <t>상지대학교 광고비 100만 원 지원금 신청  (마감 우선)</t>
        </is>
      </c>
      <c r="D34" s="47" t="inlineStr">
        <is>
          <t>전달받은 신청서·공고문을 확인해 광고비 100만 원 지원 신청서를 작성하고 제출을 준비합니다. 마감이 있으므로 우선 처리합니다.</t>
        </is>
      </c>
      <c r="E34" s="1" t="inlineStr">
        <is>
          <t>① 먼저 확인: 지원사업명·지원금액·대상·신청 마감일·제출방법·가능 광고채널·자부담·집행기간·선결제/부가세·정산방식.
② 신청서 초안 작성(회사/대표/사업자 정보·신청 목적·서비스 소개·광고 필요성·목표 고객·채널·100만 원 사용계획·기간·기대효과·예상 문의/계약·성과관리).
③ 첨부서류 확보(사업자등록증·통장사본·회사소개서·광고 견적서·집행계획서·개인정보 동의서·신청서 등)와 제출 전 검수(누락·회사/대표/사업자번호·예산 합계·기간·서명·파일명·형식·마감).
④ 최종본을 대표에게 먼저 확인받은 뒤 제출하고, 접수증/제출 완료 화면을 보관합니다.</t>
        </is>
      </c>
      <c r="F34" s="47" t="inlineStr">
        <is>
          <t>07_김현진_상지대_광고비지원_신청_W36_v1.pdf</t>
        </is>
      </c>
      <c r="G34" s="6" t="inlineStr">
        <is>
          <t>브링 구글 드라이브</t>
        </is>
      </c>
      <c r="H34" s="107" t="inlineStr">
        <is>
          <t>공고 마감 확인 후 (초안 09-02(수))</t>
        </is>
      </c>
      <c r="I34" s="47" t="inlineStr">
        <is>
          <t>최우선</t>
        </is>
      </c>
      <c r="J34" s="114" t="n">
        <v>7</v>
      </c>
      <c r="K34" s="19" t="n">
        <v>0.16</v>
      </c>
    </row>
    <row r="35" ht="69" customHeight="1" s="49">
      <c r="B35" s="45" t="inlineStr">
        <is>
          <t>합계</t>
        </is>
      </c>
      <c r="C35" s="51" t="n"/>
      <c r="D35" s="41" t="n"/>
      <c r="E35" s="41" t="n"/>
      <c r="F35" s="41" t="n"/>
      <c r="G35" s="41" t="n"/>
      <c r="H35" s="41" t="n"/>
      <c r="I35" s="42" t="n"/>
      <c r="J35" s="115">
        <f>SUM(J28:J34)</f>
        <v/>
      </c>
      <c r="K35" s="21">
        <f>SUM(K28:K34)</f>
        <v/>
      </c>
    </row>
    <row r="36" ht="24" customHeight="1" s="49">
      <c r="B36" s="45" t="inlineStr">
        <is>
          <t>발행 검증</t>
        </is>
      </c>
      <c r="C36" s="116">
        <f>IF(COUNTA(C28:C34)=0,"업무 미입력",IF(COUNTA(E28:E34)&lt;COUNTA(C28:C34),"발행 불가 — 완료기준 누락 업무 있음",IF(COUNTA(F28:F34)&lt;COUNTA(C28:C34),"발행 불가 — 산출물 누락 업무 있음",IF(SUM(K28:K34)&lt;&gt;1,"발행 불가 — 가중치 합계 "&amp;TEXT(SUM(K28:K34),"0%")&amp;" (100% 필요)","발행 가능 — 완료기준·산출물·가중치 충족"))))</f>
        <v/>
      </c>
      <c r="D36" s="41" t="n"/>
      <c r="E36" s="41" t="n"/>
      <c r="F36" s="41" t="n"/>
      <c r="G36" s="41" t="n"/>
      <c r="H36" s="41" t="n"/>
      <c r="I36" s="41" t="n"/>
      <c r="J36" s="41" t="n"/>
      <c r="K36" s="42" t="n"/>
    </row>
    <row r="37" ht="24" customHeight="1" s="49">
      <c r="B37" s="89" t="n"/>
    </row>
    <row r="38" ht="24" customHeight="1" s="49">
      <c r="B38" s="45" t="n"/>
      <c r="C38" s="117" t="n"/>
    </row>
    <row r="39" ht="18" customHeight="1" s="49">
      <c r="B39" s="89" t="inlineStr">
        <is>
          <t>담당자 접수확인  —  월요일 12:00까지 담당자 직접 작성 (미작성 = 업무 미이해로 간주, 재지시)</t>
        </is>
      </c>
      <c r="C39" s="64" t="n"/>
      <c r="D39" s="64" t="n"/>
      <c r="E39" s="64" t="n"/>
      <c r="F39" s="64" t="n"/>
      <c r="G39" s="64" t="n"/>
      <c r="H39" s="64" t="n"/>
      <c r="I39" s="64" t="n"/>
      <c r="J39" s="64" t="n"/>
      <c r="K39" s="64" t="n"/>
    </row>
    <row r="40" ht="36" customHeight="1" s="49">
      <c r="B40" s="45" t="inlineStr">
        <is>
          <t>내가 이해한 업무
(본인 언어로 재작성)</t>
        </is>
      </c>
      <c r="C40" s="117" t="n"/>
      <c r="D40" s="41" t="n"/>
      <c r="E40" s="41" t="n"/>
      <c r="F40" s="41" t="n"/>
      <c r="G40" s="41" t="n"/>
      <c r="H40" s="41" t="n"/>
      <c r="I40" s="41" t="n"/>
      <c r="J40" s="41" t="n"/>
      <c r="K40" s="42" t="n"/>
    </row>
    <row r="41" ht="19.5" customHeight="1" s="49">
      <c r="B41" s="45" t="inlineStr">
        <is>
          <t>완료기준 재확인
(무엇이 되면 끝인가)</t>
        </is>
      </c>
      <c r="C41" s="118" t="n"/>
      <c r="D41" s="41" t="n"/>
      <c r="E41" s="41" t="n"/>
      <c r="F41" s="41" t="n"/>
      <c r="G41" s="41" t="n"/>
      <c r="H41" s="41" t="n"/>
      <c r="I41" s="41" t="n"/>
      <c r="J41" s="41" t="n"/>
      <c r="K41" s="42" t="n"/>
    </row>
    <row r="42" ht="24" customHeight="1" s="49">
      <c r="B42" s="45" t="inlineStr">
        <is>
          <t>예상 리스크
(막힐 것 같은 지점)</t>
        </is>
      </c>
      <c r="C42" s="43" t="n"/>
      <c r="D42" s="41" t="n"/>
      <c r="E42" s="41" t="n"/>
      <c r="F42" s="41" t="n"/>
      <c r="G42" s="41" t="n"/>
      <c r="H42" s="41" t="n"/>
      <c r="I42" s="41" t="n"/>
      <c r="J42" s="41" t="n"/>
      <c r="K42" s="42" t="n"/>
    </row>
    <row r="43" ht="24" customHeight="1" s="49">
      <c r="B43" s="45" t="inlineStr">
        <is>
          <t>필요한 지원·의사결정</t>
        </is>
      </c>
      <c r="C43" s="43" t="n"/>
      <c r="D43" s="41" t="n"/>
      <c r="E43" s="41" t="n"/>
      <c r="F43" s="41" t="n"/>
      <c r="G43" s="41" t="n"/>
      <c r="H43" s="41" t="n"/>
      <c r="I43" s="41" t="n"/>
      <c r="J43" s="41" t="n"/>
      <c r="K43" s="42" t="n"/>
    </row>
    <row r="44" ht="24" customHeight="1" s="49">
      <c r="B44" s="45" t="inlineStr">
        <is>
          <t>실행 계획 (요일 배분)</t>
        </is>
      </c>
      <c r="C44" s="43" t="n"/>
      <c r="D44" s="41" t="n"/>
      <c r="E44" s="41" t="n"/>
      <c r="F44" s="41" t="n"/>
      <c r="G44" s="41" t="n"/>
      <c r="H44" s="41" t="n"/>
      <c r="I44" s="41" t="n"/>
      <c r="J44" s="41" t="n"/>
      <c r="K44" s="42" t="n"/>
    </row>
    <row r="45" ht="24" customHeight="1" s="49">
      <c r="B45" s="45" t="inlineStr">
        <is>
          <t>접수 확인 일시 / 서명</t>
        </is>
      </c>
      <c r="C45" s="47" t="n"/>
      <c r="D45" s="41" t="n"/>
      <c r="E45" s="41" t="n"/>
      <c r="F45" s="41" t="n"/>
      <c r="G45" s="41" t="n"/>
      <c r="H45" s="41" t="n"/>
      <c r="I45" s="41" t="n"/>
      <c r="J45" s="41" t="n"/>
      <c r="K45" s="42" t="n"/>
    </row>
    <row r="46" ht="24" customHeight="1" s="49">
      <c r="B46" s="45" t="n"/>
      <c r="C46" s="45" t="n"/>
      <c r="E46" s="45" t="n"/>
      <c r="G46" s="45" t="n"/>
      <c r="I46" s="45" t="n"/>
      <c r="K46" s="45" t="n"/>
    </row>
    <row r="47" ht="24" customHeight="1" s="49">
      <c r="B47" s="4" t="inlineStr">
        <is>
          <t>결   재</t>
        </is>
      </c>
      <c r="C47" s="41" t="n"/>
      <c r="D47" s="41" t="n"/>
      <c r="E47" s="41" t="n"/>
      <c r="F47" s="41" t="n"/>
      <c r="G47" s="41" t="n"/>
      <c r="H47" s="41" t="n"/>
      <c r="I47" s="41" t="n"/>
      <c r="J47" s="41" t="n"/>
      <c r="K47" s="42" t="n"/>
    </row>
    <row r="48" ht="24" customHeight="1" s="49">
      <c r="B48" s="45" t="inlineStr">
        <is>
          <t>구분</t>
        </is>
      </c>
      <c r="C48" s="45" t="inlineStr">
        <is>
          <t>작성 (지시자)</t>
        </is>
      </c>
      <c r="D48" s="42" t="n"/>
      <c r="E48" s="45" t="inlineStr">
        <is>
          <t>검토 (검수자)</t>
        </is>
      </c>
      <c r="F48" s="42" t="n"/>
      <c r="G48" s="45" t="inlineStr">
        <is>
          <t>승인 (대표)</t>
        </is>
      </c>
      <c r="H48" s="42" t="n"/>
      <c r="I48" s="45" t="inlineStr">
        <is>
          <t>접수 (담당자)</t>
        </is>
      </c>
      <c r="J48" s="42" t="n"/>
      <c r="K48" s="45" t="inlineStr">
        <is>
          <t>일자</t>
        </is>
      </c>
    </row>
    <row r="49" ht="21.75" customHeight="1" s="49">
      <c r="B49" s="45" t="inlineStr">
        <is>
          <t>서명</t>
        </is>
      </c>
      <c r="C49" s="47" t="inlineStr">
        <is>
          <t>서 창 환</t>
        </is>
      </c>
      <c r="D49" s="42" t="n"/>
      <c r="E49" s="47" t="inlineStr">
        <is>
          <t>서 창 환</t>
        </is>
      </c>
      <c r="F49" s="42" t="n"/>
      <c r="G49" s="47" t="inlineStr">
        <is>
          <t>서 창 환</t>
        </is>
      </c>
      <c r="H49" s="42" t="n"/>
      <c r="I49" s="47" t="inlineStr">
        <is>
          <t>김 현 진</t>
        </is>
      </c>
      <c r="J49" s="42" t="n"/>
      <c r="K49" s="109" t="inlineStr">
        <is>
          <t>2026-08-31</t>
        </is>
      </c>
    </row>
    <row r="50" ht="21.75" customHeight="1" s="49"/>
    <row r="51" ht="21.75" customHeight="1" s="49"/>
    <row r="52" ht="21.75" customHeight="1" s="49"/>
    <row r="53" ht="21.75" customHeight="1" s="49"/>
    <row r="54" ht="21.75" customHeight="1" s="49"/>
    <row r="55" ht="21.75" customHeight="1" s="49"/>
    <row r="56" ht="21.75" customHeight="1" s="49"/>
    <row r="58" ht="21.75" customHeight="1" s="49"/>
    <row r="59" ht="48" customHeight="1" s="49"/>
    <row r="60" ht="39.75" customHeight="1" s="49"/>
    <row r="61" ht="33.75" customHeight="1" s="49"/>
    <row r="62" ht="33.75" customHeight="1" s="49"/>
    <row r="63" ht="30" customHeight="1" s="49"/>
    <row r="64" ht="21.75" customHeight="1" s="49"/>
    <row r="66" ht="15" customHeight="1" s="49"/>
    <row r="67" ht="59.25" customHeight="1" s="49"/>
    <row r="68" ht="39.75" customHeight="1" s="49"/>
  </sheetData>
  <mergeCells count="39">
    <mergeCell ref="C41:K41"/>
    <mergeCell ref="C10:K10"/>
    <mergeCell ref="C15:J15"/>
    <mergeCell ref="C44:K44"/>
    <mergeCell ref="C24:J24"/>
    <mergeCell ref="I49:J49"/>
    <mergeCell ref="C9:K9"/>
    <mergeCell ref="C40:K40"/>
    <mergeCell ref="C14:J14"/>
    <mergeCell ref="E48:F48"/>
    <mergeCell ref="C43:K43"/>
    <mergeCell ref="G48:H48"/>
    <mergeCell ref="C20:J20"/>
    <mergeCell ref="B26:K26"/>
    <mergeCell ref="C36:K36"/>
    <mergeCell ref="C16:J16"/>
    <mergeCell ref="B7:K7"/>
    <mergeCell ref="C22:J22"/>
    <mergeCell ref="C8:K8"/>
    <mergeCell ref="B47:K47"/>
    <mergeCell ref="B14:B21"/>
    <mergeCell ref="G49:H49"/>
    <mergeCell ref="C21:J21"/>
    <mergeCell ref="C35:I35"/>
    <mergeCell ref="E49:F49"/>
    <mergeCell ref="B12:K12"/>
    <mergeCell ref="B39:K39"/>
    <mergeCell ref="B2:K2"/>
    <mergeCell ref="C48:D48"/>
    <mergeCell ref="I48:J48"/>
    <mergeCell ref="C23:J23"/>
    <mergeCell ref="C17:J17"/>
    <mergeCell ref="B1:K1"/>
    <mergeCell ref="C42:K42"/>
    <mergeCell ref="C45:K45"/>
    <mergeCell ref="C13:J13"/>
    <mergeCell ref="C19:J19"/>
    <mergeCell ref="C18:J18"/>
    <mergeCell ref="C49:D49"/>
  </mergeCells>
  <dataValidations count="1">
    <dataValidation sqref="I28:I34" showDropDown="0" showInputMessage="0" showErrorMessage="0" allowBlank="1" type="list">
      <formula1>"최우선,높음,보통,낮음"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topLeftCell="A27" zoomScaleNormal="100" workbookViewId="0">
      <selection activeCell="D45" sqref="D45:F45"/>
    </sheetView>
  </sheetViews>
  <sheetFormatPr baseColWidth="8" defaultColWidth="8.7109375" defaultRowHeight="15"/>
  <cols>
    <col width="19.85546875" customWidth="1" style="49" min="3" max="3"/>
    <col width="22" customWidth="1" style="49" min="4" max="4"/>
    <col width="47.85546875" customWidth="1" style="49" min="5" max="5"/>
    <col width="15.5703125" customWidth="1" style="49" min="6" max="6"/>
    <col width="9" customWidth="1" style="49" min="7" max="7"/>
    <col width="12.28515625" customWidth="1" style="49" min="8" max="8"/>
    <col width="9" customWidth="1" style="49" min="9" max="9"/>
    <col width="28" customWidth="1" style="49" min="10" max="10"/>
    <col width="30" customWidth="1" style="49" min="11" max="11"/>
    <col width="26" customWidth="1" style="49" min="12" max="12"/>
  </cols>
  <sheetData>
    <row r="1" ht="33.75" customHeight="1" s="49">
      <c r="C1" s="50" t="inlineStr">
        <is>
          <t>주 간  완 료  보 고 서</t>
        </is>
      </c>
    </row>
    <row r="2">
      <c r="C2" s="67" t="inlineStr">
        <is>
          <t>작성: 담당자  |  제출: 매주 금요일 17:00  |  초록색 셀은 업무지시서에서 자동 연동됨 (수정 금지)</t>
        </is>
      </c>
    </row>
    <row r="4" ht="19.5" customHeight="1" s="49">
      <c r="C4" s="4" t="inlineStr">
        <is>
          <t>문서번호</t>
        </is>
      </c>
      <c r="D4" s="12">
        <f>'01_업무지시서'!C4</f>
        <v/>
      </c>
      <c r="E4" s="4" t="inlineStr">
        <is>
          <t>주차</t>
        </is>
      </c>
      <c r="F4" s="12">
        <f>'01_업무지시서'!E4</f>
        <v/>
      </c>
      <c r="G4" s="4" t="inlineStr">
        <is>
          <t>담당자</t>
        </is>
      </c>
      <c r="H4" s="12">
        <f>'01_업무지시서'!C5</f>
        <v/>
      </c>
      <c r="I4" s="4" t="inlineStr">
        <is>
          <t>대상기간</t>
        </is>
      </c>
      <c r="J4" s="12">
        <f>'01_업무지시서'!G4</f>
        <v/>
      </c>
      <c r="K4" s="4" t="inlineStr">
        <is>
          <t>작성일</t>
        </is>
      </c>
      <c r="L4" s="6" t="n"/>
    </row>
    <row r="5" ht="30" customHeight="1" s="49">
      <c r="C5" s="4" t="inlineStr">
        <is>
          <t>주간 달성률
(가중)</t>
        </is>
      </c>
      <c r="D5" s="26">
        <f>SUMPRODUCT(F12:F18,H12:H18)</f>
        <v/>
      </c>
      <c r="E5" s="4" t="inlineStr">
        <is>
          <t>판정</t>
        </is>
      </c>
      <c r="F5" s="27">
        <f>IF(D5&gt;=1,"완수",IF(D5&gt;=0.9,"정상",IF(D5&gt;=0.7,"주의","경고")))</f>
        <v/>
      </c>
      <c r="G5" s="4" t="inlineStr">
        <is>
          <t>계획 h</t>
        </is>
      </c>
      <c r="H5" s="119">
        <f>SUM('01_업무지시서'!J28:J34)</f>
        <v/>
      </c>
      <c r="I5" s="4" t="inlineStr">
        <is>
          <t>실제 h</t>
        </is>
      </c>
      <c r="J5" s="119">
        <f>SUM(I12:I18)</f>
        <v/>
      </c>
      <c r="K5" s="4" t="inlineStr">
        <is>
          <t>시간 정확도</t>
        </is>
      </c>
      <c r="L5" s="11">
        <f>IFERROR(J5/H5,0)</f>
        <v/>
      </c>
    </row>
    <row r="6" ht="25.5" customHeight="1" s="49">
      <c r="C6" s="45" t="inlineStr">
        <is>
          <t>이번 주 목표
(지시서 연동)</t>
        </is>
      </c>
      <c r="D6" s="68">
        <f>'01_업무지시서'!C9</f>
        <v/>
      </c>
      <c r="E6" s="41" t="n"/>
      <c r="F6" s="41" t="n"/>
      <c r="G6" s="41" t="n"/>
      <c r="H6" s="41" t="n"/>
      <c r="I6" s="41" t="n"/>
      <c r="J6" s="41" t="n"/>
      <c r="K6" s="41" t="n"/>
      <c r="L6" s="42" t="n"/>
    </row>
    <row r="7" ht="25.5" customHeight="1" s="49">
      <c r="C7" s="45" t="inlineStr">
        <is>
          <t>목표 달성 여부
(자기 판정)</t>
        </is>
      </c>
      <c r="D7" s="57" t="inlineStr">
        <is>
          <t>달성 / 부분달성 / 미달 — 그리고 그 이유 한 문장. 변명 없이 사실만.</t>
        </is>
      </c>
      <c r="E7" s="41" t="n"/>
      <c r="F7" s="41" t="n"/>
      <c r="G7" s="41" t="n"/>
      <c r="H7" s="41" t="n"/>
      <c r="I7" s="41" t="n"/>
      <c r="J7" s="41" t="n"/>
      <c r="K7" s="41" t="n"/>
      <c r="L7" s="42" t="n"/>
    </row>
    <row r="9" ht="19.5" customHeight="1" s="49">
      <c r="C9" s="48" t="inlineStr">
        <is>
          <t>1. 지시 업무별 결과  —  증빙 없는 진행률은 0%로 처리됨</t>
        </is>
      </c>
    </row>
    <row r="10" ht="31.5" customHeight="1" s="49">
      <c r="C10" s="13" t="inlineStr">
        <is>
          <t>No</t>
        </is>
      </c>
      <c r="D10" s="46" t="inlineStr">
        <is>
          <t>업무명 (자동)</t>
        </is>
      </c>
      <c r="E10" s="46" t="inlineStr">
        <is>
          <t>완료기준 (자동)</t>
        </is>
      </c>
      <c r="F10" s="46" t="inlineStr">
        <is>
          <t>가중치
(자동)</t>
        </is>
      </c>
      <c r="G10" s="46" t="inlineStr">
        <is>
          <t>상태</t>
        </is>
      </c>
      <c r="H10" s="46" t="inlineStr">
        <is>
          <t>진행률
(%)</t>
        </is>
      </c>
      <c r="I10" s="46" t="inlineStr">
        <is>
          <t>실제
소요(h)</t>
        </is>
      </c>
      <c r="J10" s="46" t="inlineStr">
        <is>
          <t>증빙 (파일명·링크·측정값)</t>
        </is>
      </c>
      <c r="K10" s="46" t="inlineStr">
        <is>
          <t>미완료 원인</t>
        </is>
      </c>
      <c r="L10" s="46" t="inlineStr">
        <is>
          <t>다음 조치</t>
        </is>
      </c>
    </row>
    <row r="11" ht="75.75" customHeight="1" s="49">
      <c r="C11" s="8" t="inlineStr">
        <is>
          <t>예시</t>
        </is>
      </c>
      <c r="D11" s="14" t="inlineStr">
        <is>
          <t>[예시]
창문 모듈 브레드보드 제작</t>
        </is>
      </c>
      <c r="E11" s="8" t="inlineStr">
        <is>
          <t>① 센서 4종 1분 주기 수집
② 24h 무중단 성공률 98%↑
③ 센서ID·보정값 기록</t>
        </is>
      </c>
      <c r="F11" s="16" t="n">
        <v>0.4</v>
      </c>
      <c r="G11" s="8" t="inlineStr">
        <is>
          <t>진행중</t>
        </is>
      </c>
      <c r="H11" s="16" t="n">
        <v>0.7</v>
      </c>
      <c r="I11" s="120" t="n">
        <v>14</v>
      </c>
      <c r="J11" s="14" t="inlineStr">
        <is>
          <t>drive/HW/W29/log_0716.csv
(성공률 94.2%, 스크린샷 첨부)</t>
        </is>
      </c>
      <c r="K11" s="8" t="inlineStr">
        <is>
          <t>누수센서 오탐 3회 — 접지 불량 추정.
재배선 전까지 98% 도달 불가.</t>
        </is>
      </c>
      <c r="L11" s="8" t="inlineStr">
        <is>
          <t>월요일 재배선 후 24h 재시험 (4h 소요 예상)</t>
        </is>
      </c>
    </row>
    <row r="12" ht="108" customHeight="1" s="49">
      <c r="C12" s="17" t="n">
        <v>1</v>
      </c>
      <c r="D12" s="40">
        <f>IF('01_업무지시서'!C28="","",'01_업무지시서'!C28)</f>
        <v/>
      </c>
      <c r="E12" s="40">
        <f>IF('01_업무지시서'!E28="","",'01_업무지시서'!E28)</f>
        <v/>
      </c>
      <c r="F12" s="11">
        <f>IF('01_업무지시서'!K28="",0,'01_업무지시서'!K28)</f>
        <v/>
      </c>
      <c r="G12" s="47" t="n"/>
      <c r="H12" s="19" t="n"/>
      <c r="I12" s="114" t="n"/>
      <c r="J12" s="47" t="n"/>
      <c r="K12" s="47" t="n"/>
      <c r="L12" s="47" t="n"/>
    </row>
    <row r="13" ht="108" customHeight="1" s="49">
      <c r="C13" s="17" t="n">
        <v>2</v>
      </c>
      <c r="D13" s="40">
        <f>IF('01_업무지시서'!C29="","",'01_업무지시서'!C29)</f>
        <v/>
      </c>
      <c r="E13" s="40">
        <f>IF('01_업무지시서'!E29="","",'01_업무지시서'!E29)</f>
        <v/>
      </c>
      <c r="F13" s="11">
        <f>IF('01_업무지시서'!K29="",0,'01_업무지시서'!K29)</f>
        <v/>
      </c>
      <c r="G13" s="47" t="n"/>
      <c r="H13" s="19" t="n"/>
      <c r="I13" s="114" t="n"/>
      <c r="J13" s="47" t="n"/>
      <c r="K13" s="47" t="n"/>
      <c r="L13" s="47" t="n"/>
    </row>
    <row r="14" ht="108" customHeight="1" s="49">
      <c r="C14" s="17" t="n">
        <v>3</v>
      </c>
      <c r="D14" s="40">
        <f>IF('01_업무지시서'!C30="","",'01_업무지시서'!C30)</f>
        <v/>
      </c>
      <c r="E14" s="40">
        <f>IF('01_업무지시서'!E30="","",'01_업무지시서'!E30)</f>
        <v/>
      </c>
      <c r="F14" s="11">
        <f>IF('01_업무지시서'!K30="",0,'01_업무지시서'!K30)</f>
        <v/>
      </c>
      <c r="G14" s="47" t="n"/>
      <c r="H14" s="19" t="n"/>
      <c r="I14" s="114" t="n"/>
      <c r="J14" s="47" t="n"/>
      <c r="K14" s="47" t="n"/>
      <c r="L14" s="47" t="n"/>
    </row>
    <row r="15" ht="108" customHeight="1" s="49">
      <c r="C15" s="17" t="n">
        <v>4</v>
      </c>
      <c r="D15" s="40">
        <f>IF('01_업무지시서'!C31="","",'01_업무지시서'!C31)</f>
        <v/>
      </c>
      <c r="E15" s="40">
        <f>IF('01_업무지시서'!E31="","",'01_업무지시서'!E31)</f>
        <v/>
      </c>
      <c r="F15" s="11">
        <f>IF('01_업무지시서'!K31="",0,'01_업무지시서'!K31)</f>
        <v/>
      </c>
      <c r="G15" s="47" t="n"/>
      <c r="H15" s="19" t="n"/>
      <c r="I15" s="114" t="n"/>
      <c r="J15" s="47" t="n"/>
      <c r="K15" s="47" t="n"/>
      <c r="L15" s="47" t="n"/>
    </row>
    <row r="16" ht="108" customHeight="1" s="49">
      <c r="C16" s="17" t="n">
        <v>5</v>
      </c>
      <c r="D16" s="40">
        <f>IF('01_업무지시서'!C32="","",'01_업무지시서'!C32)</f>
        <v/>
      </c>
      <c r="E16" s="40">
        <f>IF('01_업무지시서'!E32="","",'01_업무지시서'!E32)</f>
        <v/>
      </c>
      <c r="F16" s="11">
        <f>IF('01_업무지시서'!K32="",0,'01_업무지시서'!K32)</f>
        <v/>
      </c>
      <c r="G16" s="47" t="n"/>
      <c r="H16" s="19" t="n"/>
      <c r="I16" s="114" t="n"/>
      <c r="J16" s="47" t="n"/>
      <c r="K16" s="47" t="n"/>
      <c r="L16" s="47" t="n"/>
    </row>
    <row r="17" ht="27.75" customHeight="1" s="49">
      <c r="C17" s="17" t="n"/>
      <c r="D17" s="40">
        <f>IF('01_업무지시서'!C33="","",'01_업무지시서'!C33)</f>
        <v/>
      </c>
      <c r="E17" s="40">
        <f>IF('01_업무지시서'!E33="","",'01_업무지시서'!E33)</f>
        <v/>
      </c>
      <c r="F17" s="11">
        <f>IF('01_업무지시서'!K33="",0,'01_업무지시서'!K33)</f>
        <v/>
      </c>
      <c r="G17" s="47" t="n"/>
      <c r="H17" s="19" t="n"/>
      <c r="I17" s="114" t="n"/>
      <c r="J17" s="47" t="n"/>
      <c r="K17" s="47" t="n"/>
      <c r="L17" s="47" t="n"/>
    </row>
    <row r="18" ht="27.75" customHeight="1" s="49">
      <c r="C18" s="17" t="n"/>
      <c r="D18" s="40">
        <f>IF('01_업무지시서'!C34="","",'01_업무지시서'!C34)</f>
        <v/>
      </c>
      <c r="E18" s="40">
        <f>IF('01_업무지시서'!E34="","",'01_업무지시서'!E34)</f>
        <v/>
      </c>
      <c r="F18" s="11">
        <f>IF('01_업무지시서'!K34="",0,'01_업무지시서'!K34)</f>
        <v/>
      </c>
      <c r="G18" s="47" t="n"/>
      <c r="H18" s="19" t="n"/>
      <c r="I18" s="114" t="n"/>
      <c r="J18" s="47" t="n"/>
      <c r="K18" s="47" t="n"/>
      <c r="L18" s="47" t="n"/>
    </row>
    <row r="19" ht="15" customHeight="1" s="49">
      <c r="C19" s="45" t="inlineStr">
        <is>
          <t>합계</t>
        </is>
      </c>
      <c r="D19" s="45" t="inlineStr">
        <is>
          <t>가중 달성률 →</t>
        </is>
      </c>
      <c r="E19" s="42" t="n"/>
      <c r="F19" s="21">
        <f>SUM(F12:F18)</f>
        <v/>
      </c>
      <c r="G19" s="28">
        <f>SUMPRODUCT(F12:F18,H12:H18)</f>
        <v/>
      </c>
      <c r="H19" s="29">
        <f>COUNTIF(G12:G18,"완료")</f>
        <v/>
      </c>
      <c r="I19" s="115">
        <f>SUM(I12:I18)</f>
        <v/>
      </c>
      <c r="J19" s="69">
        <f>"완료 "&amp;COUNTIF(G12:G18,"완료")&amp;"건 / 진행중 "&amp;COUNTIF(G12:G18,"진행중")&amp;"건 / 미착수 "&amp;COUNTIF(G12:G18,"미착수")&amp;"건"</f>
        <v/>
      </c>
      <c r="K19" s="41" t="n"/>
      <c r="L19" s="42" t="n"/>
    </row>
    <row r="20" ht="24" customHeight="1" s="49">
      <c r="C20" s="46" t="n"/>
      <c r="D20" s="46" t="n"/>
      <c r="I20" s="46" t="n"/>
      <c r="J20" s="46" t="n"/>
      <c r="L20" s="46" t="n"/>
    </row>
    <row r="21" ht="19.5" customHeight="1" s="49">
      <c r="C21" s="121" t="inlineStr">
        <is>
          <t>2. 자가 검수  —  제출 전 §4 검수기준으로 본인이 먼저 점검</t>
        </is>
      </c>
      <c r="D21" s="64" t="n"/>
      <c r="E21" s="64" t="n"/>
      <c r="F21" s="64" t="n"/>
      <c r="G21" s="64" t="n"/>
      <c r="H21" s="64" t="n"/>
      <c r="I21" s="64" t="n"/>
      <c r="J21" s="64" t="n"/>
      <c r="K21" s="64" t="n"/>
      <c r="L21" s="65" t="n"/>
    </row>
    <row r="22" ht="24" customHeight="1" s="49">
      <c r="C22" s="46" t="inlineStr">
        <is>
          <t>검수 항목 (자동)</t>
        </is>
      </c>
      <c r="D22" s="46" t="inlineStr">
        <is>
          <t>검수 질문 (자동)</t>
        </is>
      </c>
      <c r="E22" s="41" t="n"/>
      <c r="F22" s="41" t="n"/>
      <c r="G22" s="41" t="n"/>
      <c r="H22" s="42" t="n"/>
      <c r="I22" s="46" t="inlineStr">
        <is>
          <t>자가
판정</t>
        </is>
      </c>
      <c r="J22" s="46" t="inlineStr">
        <is>
          <t>미충족 사유·보완 계획</t>
        </is>
      </c>
      <c r="K22" s="42" t="n"/>
      <c r="L22" s="46" t="inlineStr">
        <is>
          <t>검수자
판정</t>
        </is>
      </c>
    </row>
    <row r="23" ht="24" customHeight="1" s="49">
      <c r="C23" s="69" t="n"/>
      <c r="D23" s="55" t="n"/>
      <c r="E23" s="41" t="n"/>
      <c r="F23" s="41" t="n"/>
      <c r="G23" s="41" t="n"/>
      <c r="H23" s="42" t="n"/>
      <c r="I23" s="47" t="n"/>
      <c r="J23" s="44" t="n"/>
      <c r="K23" s="42" t="n"/>
      <c r="L23" s="66" t="n"/>
    </row>
    <row r="24" ht="24" customHeight="1" s="49">
      <c r="C24" s="69" t="n"/>
      <c r="D24" s="55" t="n"/>
      <c r="E24" s="41" t="n"/>
      <c r="F24" s="41" t="n"/>
      <c r="G24" s="41" t="n"/>
      <c r="H24" s="42" t="n"/>
      <c r="I24" s="47" t="n"/>
      <c r="J24" s="44" t="n"/>
      <c r="K24" s="42" t="n"/>
      <c r="L24" s="66" t="n"/>
    </row>
    <row r="25" ht="24" customHeight="1" s="49">
      <c r="C25" s="69" t="n"/>
      <c r="D25" s="55" t="n"/>
      <c r="E25" s="41" t="n"/>
      <c r="F25" s="41" t="n"/>
      <c r="G25" s="41" t="n"/>
      <c r="H25" s="42" t="n"/>
      <c r="I25" s="47" t="n"/>
      <c r="J25" s="44" t="n"/>
      <c r="K25" s="42" t="n"/>
      <c r="L25" s="66" t="n"/>
    </row>
    <row r="26" ht="24" customHeight="1" s="49">
      <c r="C26" s="69" t="n"/>
      <c r="D26" s="55" t="n"/>
      <c r="E26" s="41" t="n"/>
      <c r="F26" s="41" t="n"/>
      <c r="G26" s="41" t="n"/>
      <c r="H26" s="42" t="n"/>
      <c r="I26" s="47" t="n"/>
      <c r="J26" s="44" t="n"/>
      <c r="K26" s="42" t="n"/>
      <c r="L26" s="66" t="n"/>
    </row>
    <row r="27" ht="24" customHeight="1" s="49">
      <c r="C27" s="69" t="n"/>
      <c r="D27" s="55" t="n"/>
      <c r="E27" s="41" t="n"/>
      <c r="F27" s="41" t="n"/>
      <c r="G27" s="41" t="n"/>
      <c r="H27" s="42" t="n"/>
      <c r="I27" s="47" t="n"/>
      <c r="J27" s="44" t="n"/>
      <c r="K27" s="42" t="n"/>
      <c r="L27" s="66" t="n"/>
    </row>
    <row r="28" ht="24" customHeight="1" s="49">
      <c r="C28" s="69" t="n"/>
      <c r="D28" s="55" t="n"/>
      <c r="E28" s="41" t="n"/>
      <c r="F28" s="41" t="n"/>
      <c r="G28" s="41" t="n"/>
      <c r="H28" s="42" t="n"/>
      <c r="I28" s="47" t="n"/>
      <c r="J28" s="44" t="n"/>
      <c r="K28" s="42" t="n"/>
      <c r="L28" s="66" t="n"/>
    </row>
    <row r="29" ht="24" customHeight="1" s="49">
      <c r="C29" s="69" t="n"/>
      <c r="D29" s="55" t="n"/>
      <c r="E29" s="41" t="n"/>
      <c r="F29" s="41" t="n"/>
      <c r="G29" s="41" t="n"/>
      <c r="H29" s="42" t="n"/>
      <c r="I29" s="47" t="n"/>
      <c r="J29" s="44" t="n"/>
      <c r="K29" s="42" t="n"/>
      <c r="L29" s="66" t="n"/>
    </row>
    <row r="30" ht="27.75" customHeight="1" s="49"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</row>
    <row r="31" ht="19.5" customHeight="1" s="49">
      <c r="C31" s="121" t="inlineStr">
        <is>
          <t>3. 이슈 및 지원요청  —  대안 없이 문제만 올리는 보고는 반려</t>
        </is>
      </c>
      <c r="D31" s="64" t="n"/>
      <c r="E31" s="64" t="n"/>
      <c r="F31" s="64" t="n"/>
      <c r="G31" s="64" t="n"/>
      <c r="H31" s="64" t="n"/>
      <c r="I31" s="64" t="n"/>
      <c r="J31" s="64" t="n"/>
      <c r="K31" s="64" t="n"/>
      <c r="L31" s="65" t="n"/>
    </row>
    <row r="32" ht="27.75" customHeight="1" s="49">
      <c r="C32" s="46" t="inlineStr">
        <is>
          <t>구분</t>
        </is>
      </c>
      <c r="D32" s="46" t="inlineStr">
        <is>
          <t>이슈 내용</t>
        </is>
      </c>
      <c r="E32" s="46" t="inlineStr">
        <is>
          <t>영향
(일정/비용/품질)</t>
        </is>
      </c>
      <c r="F32" s="46" t="inlineStr">
        <is>
          <t>근본 원인</t>
        </is>
      </c>
      <c r="G32" s="46" t="inlineStr">
        <is>
          <t>대안 1</t>
        </is>
      </c>
      <c r="H32" s="46" t="inlineStr">
        <is>
          <t>대안 2</t>
        </is>
      </c>
      <c r="I32" s="46" t="inlineStr">
        <is>
          <t>권고안</t>
        </is>
      </c>
      <c r="J32" s="46" t="inlineStr">
        <is>
          <t>요청사항</t>
        </is>
      </c>
      <c r="K32" s="46" t="inlineStr">
        <is>
          <t>결정기한</t>
        </is>
      </c>
      <c r="L32" s="46" t="inlineStr">
        <is>
          <t>대표 결정</t>
        </is>
      </c>
    </row>
    <row r="33" ht="36" customHeight="1" s="49">
      <c r="C33" s="6" t="n"/>
      <c r="D33" s="18" t="n"/>
      <c r="E33" s="6" t="n"/>
      <c r="F33" s="18" t="n"/>
      <c r="G33" s="18" t="n"/>
      <c r="H33" s="18" t="n"/>
      <c r="I33" s="18" t="n"/>
      <c r="J33" s="18" t="n"/>
      <c r="K33" s="6" t="n"/>
      <c r="L33" s="66" t="n"/>
    </row>
    <row r="34" ht="36" customHeight="1" s="49">
      <c r="C34" s="6" t="n"/>
      <c r="D34" s="18" t="n"/>
      <c r="E34" s="6" t="n"/>
      <c r="F34" s="18" t="n"/>
      <c r="G34" s="18" t="n"/>
      <c r="H34" s="18" t="n"/>
      <c r="I34" s="18" t="n"/>
      <c r="J34" s="18" t="n"/>
      <c r="K34" s="6" t="n"/>
      <c r="L34" s="66" t="n"/>
    </row>
    <row r="35" ht="36" customHeight="1" s="49">
      <c r="C35" s="6" t="n"/>
      <c r="D35" s="18" t="n"/>
      <c r="E35" s="6" t="n"/>
      <c r="F35" s="18" t="n"/>
      <c r="G35" s="18" t="n"/>
      <c r="H35" s="18" t="n"/>
      <c r="I35" s="18" t="n"/>
      <c r="J35" s="18" t="n"/>
      <c r="K35" s="6" t="n"/>
      <c r="L35" s="66" t="n"/>
    </row>
    <row r="36" ht="27.75" customHeight="1" s="49">
      <c r="C36" s="13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</row>
    <row r="37" ht="19.5" customHeight="1" s="49">
      <c r="C37" s="121" t="inlineStr">
        <is>
          <t>4. 다음 주 제안 업무  —  지시를 기다리지 말 것. 본인이 먼저 제안.</t>
        </is>
      </c>
      <c r="D37" s="64" t="n"/>
      <c r="E37" s="64" t="n"/>
      <c r="F37" s="64" t="n"/>
      <c r="G37" s="64" t="n"/>
      <c r="H37" s="64" t="n"/>
      <c r="I37" s="64" t="n"/>
      <c r="J37" s="64" t="n"/>
      <c r="K37" s="64" t="n"/>
      <c r="L37" s="65" t="n"/>
    </row>
    <row r="38" ht="27.75" customHeight="1" s="49">
      <c r="C38" s="13" t="inlineStr">
        <is>
          <t>No</t>
        </is>
      </c>
      <c r="D38" s="46" t="inlineStr">
        <is>
          <t>제안 업무</t>
        </is>
      </c>
      <c r="E38" s="46" t="inlineStr">
        <is>
          <t>왜 해야 하는가</t>
        </is>
      </c>
      <c r="F38" s="46" t="inlineStr">
        <is>
          <t>완료기준(안)</t>
        </is>
      </c>
      <c r="G38" s="46" t="inlineStr">
        <is>
          <t>예상
소요(h)</t>
        </is>
      </c>
      <c r="H38" s="46" t="inlineStr">
        <is>
          <t>우선순위(안)</t>
        </is>
      </c>
      <c r="I38" s="46" t="inlineStr">
        <is>
          <t>선행 조건</t>
        </is>
      </c>
      <c r="J38" s="46" t="inlineStr">
        <is>
          <t>필요 지원</t>
        </is>
      </c>
      <c r="K38" s="46" t="inlineStr">
        <is>
          <t>대표 승인</t>
        </is>
      </c>
      <c r="L38" s="46" t="inlineStr">
        <is>
          <t>비고</t>
        </is>
      </c>
    </row>
    <row r="39" ht="31.5" customHeight="1" s="49">
      <c r="C39" s="22" t="n">
        <v>1</v>
      </c>
      <c r="D39" s="18" t="n"/>
      <c r="E39" s="18" t="n"/>
      <c r="F39" s="18" t="n"/>
      <c r="G39" s="114" t="n"/>
      <c r="H39" s="6" t="n"/>
      <c r="I39" s="18" t="n"/>
      <c r="J39" s="18" t="n"/>
      <c r="K39" s="66" t="n"/>
      <c r="L39" s="6" t="n"/>
    </row>
    <row r="40" ht="31.5" customHeight="1" s="49">
      <c r="C40" s="22" t="n">
        <v>2</v>
      </c>
      <c r="D40" s="18" t="n"/>
      <c r="E40" s="18" t="n"/>
      <c r="F40" s="18" t="n"/>
      <c r="G40" s="114" t="n"/>
      <c r="H40" s="6" t="n"/>
      <c r="I40" s="18" t="n"/>
      <c r="J40" s="18" t="n"/>
      <c r="K40" s="66" t="n"/>
      <c r="L40" s="6" t="n"/>
    </row>
    <row r="41" ht="31.5" customHeight="1" s="49">
      <c r="C41" s="22" t="n">
        <v>3</v>
      </c>
      <c r="D41" s="18" t="n"/>
      <c r="E41" s="18" t="n"/>
      <c r="F41" s="18" t="n"/>
      <c r="G41" s="114" t="n"/>
      <c r="H41" s="6" t="n"/>
      <c r="I41" s="18" t="n"/>
      <c r="J41" s="18" t="n"/>
      <c r="K41" s="66" t="n"/>
      <c r="L41" s="6" t="n"/>
    </row>
    <row r="42" ht="31.5" customHeight="1" s="49">
      <c r="C42" s="22" t="n">
        <v>4</v>
      </c>
      <c r="D42" s="18" t="n"/>
      <c r="E42" s="18" t="n"/>
      <c r="F42" s="18" t="n"/>
      <c r="G42" s="114" t="n"/>
      <c r="H42" s="6" t="n"/>
      <c r="I42" s="18" t="n"/>
      <c r="J42" s="18" t="n"/>
      <c r="K42" s="66" t="n"/>
      <c r="L42" s="6" t="n"/>
    </row>
    <row r="43" ht="25.5" customHeight="1" s="49">
      <c r="C43" s="45" t="n"/>
      <c r="D43" s="43" t="n"/>
      <c r="J43" s="58" t="n"/>
    </row>
    <row r="44" ht="19.5" customHeight="1" s="49">
      <c r="C44" s="48" t="inlineStr">
        <is>
          <t>5. 자기점검 및 대표 검수</t>
        </is>
      </c>
    </row>
    <row r="45" ht="25.5" customHeight="1" s="49">
      <c r="C45" s="45" t="inlineStr">
        <is>
          <t>이번 주 가장 잘한 것</t>
        </is>
      </c>
      <c r="D45" s="43" t="inlineStr">
        <is>
          <t>결과로 증명되는 것 1개만</t>
        </is>
      </c>
      <c r="E45" s="41" t="n"/>
      <c r="F45" s="41" t="n"/>
      <c r="G45" s="41" t="n"/>
      <c r="H45" s="41" t="n"/>
      <c r="I45" s="42" t="n"/>
      <c r="J45" s="58" t="inlineStr">
        <is>
          <t>[대표 검수 의견]</t>
        </is>
      </c>
      <c r="K45" s="59" t="n"/>
      <c r="L45" s="60" t="n"/>
    </row>
    <row r="46" ht="25.5" customHeight="1" s="49">
      <c r="C46" s="45" t="inlineStr">
        <is>
          <t>이번 주 가장 부족한 것</t>
        </is>
      </c>
      <c r="D46" s="43" t="inlineStr">
        <is>
          <t>변명 말고 사실만</t>
        </is>
      </c>
      <c r="E46" s="41" t="n"/>
      <c r="F46" s="41" t="n"/>
      <c r="G46" s="41" t="n"/>
      <c r="H46" s="41" t="n"/>
      <c r="I46" s="42" t="n"/>
      <c r="J46" s="61" t="n"/>
      <c r="L46" s="62" t="n"/>
    </row>
    <row r="47" ht="25.5" customHeight="1" s="49">
      <c r="C47" s="45" t="inlineStr">
        <is>
          <t>다음 주 개선 액션 1개</t>
        </is>
      </c>
      <c r="D47" s="43" t="inlineStr">
        <is>
          <t>실행 가능한 행동으로</t>
        </is>
      </c>
      <c r="E47" s="41" t="n"/>
      <c r="F47" s="41" t="n"/>
      <c r="G47" s="41" t="n"/>
      <c r="H47" s="41" t="n"/>
      <c r="I47" s="42" t="n"/>
      <c r="J47" s="63" t="n"/>
      <c r="K47" s="64" t="n"/>
      <c r="L47" s="65" t="n"/>
    </row>
    <row r="48"/>
    <row r="49" ht="33.75" customHeight="1" s="49">
      <c r="C49" s="45" t="inlineStr">
        <is>
          <t>제출자</t>
        </is>
      </c>
      <c r="D49" s="47" t="n"/>
      <c r="E49" s="41" t="n"/>
      <c r="F49" s="42" t="n"/>
      <c r="G49" s="45" t="inlineStr">
        <is>
          <t>검수자</t>
        </is>
      </c>
      <c r="H49" s="66" t="n"/>
      <c r="I49" s="42" t="n"/>
      <c r="J49" s="45" t="inlineStr">
        <is>
          <t>최종 판정</t>
        </is>
      </c>
      <c r="K49" s="56" t="n"/>
      <c r="L49" s="42" t="n"/>
    </row>
  </sheetData>
  <mergeCells count="34">
    <mergeCell ref="K49:L49"/>
    <mergeCell ref="J29:K29"/>
    <mergeCell ref="D19:E19"/>
    <mergeCell ref="J28:K28"/>
    <mergeCell ref="D22:H22"/>
    <mergeCell ref="D47:I47"/>
    <mergeCell ref="C37:L37"/>
    <mergeCell ref="D7:L7"/>
    <mergeCell ref="J45:L47"/>
    <mergeCell ref="J24:K24"/>
    <mergeCell ref="H49:I49"/>
    <mergeCell ref="D27:H27"/>
    <mergeCell ref="J27:K27"/>
    <mergeCell ref="C2:L2"/>
    <mergeCell ref="J26:K26"/>
    <mergeCell ref="J25:K25"/>
    <mergeCell ref="D28:H28"/>
    <mergeCell ref="D6:L6"/>
    <mergeCell ref="J22:K22"/>
    <mergeCell ref="C1:L1"/>
    <mergeCell ref="C44:L44"/>
    <mergeCell ref="D25:H25"/>
    <mergeCell ref="C31:L31"/>
    <mergeCell ref="D46:I46"/>
    <mergeCell ref="C9:L9"/>
    <mergeCell ref="D24:H24"/>
    <mergeCell ref="J19:L19"/>
    <mergeCell ref="D29:H29"/>
    <mergeCell ref="C21:L21"/>
    <mergeCell ref="D45:I45"/>
    <mergeCell ref="D23:H23"/>
    <mergeCell ref="J23:K23"/>
    <mergeCell ref="D49:F49"/>
    <mergeCell ref="D26:H26"/>
  </mergeCells>
  <dataValidations count="5">
    <dataValidation sqref="I23:I29" showDropDown="0" showInputMessage="0" showErrorMessage="0" allowBlank="1" type="list">
      <formula1>"충족,미충족"</formula1>
    </dataValidation>
    <dataValidation sqref="L23:L29" showDropDown="0" showInputMessage="0" showErrorMessage="0" allowBlank="1" type="list">
      <formula1>"합격,보완,불합격"</formula1>
    </dataValidation>
    <dataValidation sqref="K39:K42 L33:L35" showDropDown="0" showInputMessage="0" showErrorMessage="0" allowBlank="1" type="list">
      <formula1>"승인,보류,반려"</formula1>
    </dataValidation>
    <dataValidation sqref="K49" showDropDown="0" showInputMessage="0" showErrorMessage="0" allowBlank="1" type="list">
      <formula1>"합격,조건부합격,보완요청,불합격"</formula1>
    </dataValidation>
    <dataValidation sqref="G12:G18" showDropDown="0" showInputMessage="0" showErrorMessage="0" allowBlank="1" type="list">
      <formula1>"완료,진행중,미착수,보류,취소"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zoomScaleNormal="100" workbookViewId="0">
      <selection activeCell="K33" sqref="K33"/>
    </sheetView>
  </sheetViews>
  <sheetFormatPr baseColWidth="8" defaultColWidth="8.7109375" defaultRowHeight="15"/>
  <cols>
    <col width="12" customWidth="1" style="49" min="1" max="1"/>
    <col width="10" customWidth="1" style="49" min="2" max="2"/>
    <col width="7" customWidth="1" style="49" min="3" max="4"/>
    <col width="8" customWidth="1" style="49" min="5" max="7"/>
    <col width="7" customWidth="1" style="49" min="8" max="9"/>
    <col width="9" customWidth="1" style="49" min="10" max="10"/>
    <col width="36" customWidth="1" style="49" min="11" max="11"/>
    <col width="30" customWidth="1" style="49" min="12" max="12"/>
    <col width="7" customWidth="1" style="49" min="13" max="13"/>
  </cols>
  <sheetData>
    <row r="1" ht="25.5" customHeight="1" s="49">
      <c r="A1" s="31" t="inlineStr">
        <is>
          <t>주간 관리대장 (대표용 누적)</t>
        </is>
      </c>
    </row>
    <row r="2">
      <c r="A2" s="3" t="inlineStr">
        <is>
          <t>매주 금요일 검수 후 1행 누적. 2주 연속 '경고'는 업무 재설계 또는 인사 조치 검토 대상.</t>
        </is>
      </c>
    </row>
    <row r="4" ht="30" customHeight="1" s="49">
      <c r="A4" s="46" t="inlineStr">
        <is>
          <t>주차</t>
        </is>
      </c>
      <c r="B4" s="46" t="inlineStr">
        <is>
          <t>담당자</t>
        </is>
      </c>
      <c r="C4" s="46" t="inlineStr">
        <is>
          <t>지시
건수</t>
        </is>
      </c>
      <c r="D4" s="46" t="inlineStr">
        <is>
          <t>완료
건수</t>
        </is>
      </c>
      <c r="E4" s="46" t="inlineStr">
        <is>
          <t>완료율</t>
        </is>
      </c>
      <c r="F4" s="46" t="inlineStr">
        <is>
          <t>가중
달성률</t>
        </is>
      </c>
      <c r="G4" s="46" t="inlineStr">
        <is>
          <t>판정</t>
        </is>
      </c>
      <c r="H4" s="46" t="inlineStr">
        <is>
          <t>계획
h</t>
        </is>
      </c>
      <c r="I4" s="46" t="inlineStr">
        <is>
          <t>실제
h</t>
        </is>
      </c>
      <c r="J4" s="46" t="inlineStr">
        <is>
          <t>시간
정확도</t>
        </is>
      </c>
      <c r="K4" s="46" t="inlineStr">
        <is>
          <t>미완료 핵심 사유</t>
        </is>
      </c>
      <c r="L4" s="46" t="inlineStr">
        <is>
          <t>대표 조치</t>
        </is>
      </c>
      <c r="M4" s="46" t="inlineStr">
        <is>
          <t>누적
경고</t>
        </is>
      </c>
    </row>
    <row r="5" ht="21.75" customHeight="1" s="49">
      <c r="A5" s="6" t="n"/>
      <c r="B5" s="6" t="n"/>
      <c r="C5" s="6" t="n"/>
      <c r="D5" s="6" t="n"/>
      <c r="E5" s="11">
        <f>IFERROR(D5/C5,0)</f>
        <v/>
      </c>
      <c r="F5" s="19" t="n"/>
      <c r="G5" s="12">
        <f>IF(F5="","",IF(F5&gt;=1,"완수",IF(F5&gt;=0.9,"정상",IF(F5&gt;=0.7,"주의","경고"))))</f>
        <v/>
      </c>
      <c r="H5" s="6" t="n"/>
      <c r="I5" s="6" t="n"/>
      <c r="J5" s="11">
        <f>IFERROR(I5/H5,0)</f>
        <v/>
      </c>
      <c r="K5" s="1" t="n"/>
      <c r="L5" s="1" t="n"/>
      <c r="M5" s="12">
        <f>IF(B5="","",COUNTIFS($B$5:B5,B5,$G$5:G5,"경고"))</f>
        <v/>
      </c>
    </row>
    <row r="6" ht="21.75" customHeight="1" s="49">
      <c r="A6" s="6" t="n"/>
      <c r="B6" s="6" t="n"/>
      <c r="C6" s="6" t="n"/>
      <c r="D6" s="6" t="n"/>
      <c r="E6" s="11">
        <f>IFERROR(D6/C6,0)</f>
        <v/>
      </c>
      <c r="F6" s="19" t="n"/>
      <c r="G6" s="12">
        <f>IF(F6="","",IF(F6&gt;=1,"완수",IF(F6&gt;=0.9,"정상",IF(F6&gt;=0.7,"주의","경고"))))</f>
        <v/>
      </c>
      <c r="H6" s="6" t="n"/>
      <c r="I6" s="6" t="n"/>
      <c r="J6" s="11">
        <f>IFERROR(I6/H6,0)</f>
        <v/>
      </c>
      <c r="K6" s="1" t="n"/>
      <c r="L6" s="1" t="n"/>
      <c r="M6" s="12">
        <f>IF(B6="","",COUNTIFS($B$5:B6,B6,$G$5:G6,"경고"))</f>
        <v/>
      </c>
    </row>
    <row r="7" ht="21.75" customHeight="1" s="49">
      <c r="A7" s="6" t="n"/>
      <c r="B7" s="6" t="n"/>
      <c r="C7" s="6" t="n"/>
      <c r="D7" s="6" t="n"/>
      <c r="E7" s="11">
        <f>IFERROR(D7/C7,0)</f>
        <v/>
      </c>
      <c r="F7" s="19" t="n"/>
      <c r="G7" s="12">
        <f>IF(F7="","",IF(F7&gt;=1,"완수",IF(F7&gt;=0.9,"정상",IF(F7&gt;=0.7,"주의","경고"))))</f>
        <v/>
      </c>
      <c r="H7" s="6" t="n"/>
      <c r="I7" s="6" t="n"/>
      <c r="J7" s="11">
        <f>IFERROR(I7/H7,0)</f>
        <v/>
      </c>
      <c r="K7" s="1" t="n"/>
      <c r="L7" s="1" t="n"/>
      <c r="M7" s="12">
        <f>IF(B7="","",COUNTIFS($B$5:B7,B7,$G$5:G7,"경고"))</f>
        <v/>
      </c>
    </row>
    <row r="8" ht="21.75" customHeight="1" s="49">
      <c r="A8" s="6" t="n"/>
      <c r="B8" s="6" t="n"/>
      <c r="C8" s="6" t="n"/>
      <c r="D8" s="6" t="n"/>
      <c r="E8" s="11">
        <f>IFERROR(D8/C8,0)</f>
        <v/>
      </c>
      <c r="F8" s="19" t="n"/>
      <c r="G8" s="12">
        <f>IF(F8="","",IF(F8&gt;=1,"완수",IF(F8&gt;=0.9,"정상",IF(F8&gt;=0.7,"주의","경고"))))</f>
        <v/>
      </c>
      <c r="H8" s="6" t="n"/>
      <c r="I8" s="6" t="n"/>
      <c r="J8" s="11">
        <f>IFERROR(I8/H8,0)</f>
        <v/>
      </c>
      <c r="K8" s="1" t="n"/>
      <c r="L8" s="1" t="n"/>
      <c r="M8" s="12">
        <f>IF(B8="","",COUNTIFS($B$5:B8,B8,$G$5:G8,"경고"))</f>
        <v/>
      </c>
    </row>
    <row r="9" ht="21.75" customHeight="1" s="49">
      <c r="A9" s="6" t="n"/>
      <c r="B9" s="6" t="n"/>
      <c r="C9" s="6" t="n"/>
      <c r="D9" s="6" t="n"/>
      <c r="E9" s="11">
        <f>IFERROR(D9/C9,0)</f>
        <v/>
      </c>
      <c r="F9" s="19" t="n"/>
      <c r="G9" s="12">
        <f>IF(F9="","",IF(F9&gt;=1,"완수",IF(F9&gt;=0.9,"정상",IF(F9&gt;=0.7,"주의","경고"))))</f>
        <v/>
      </c>
      <c r="H9" s="6" t="n"/>
      <c r="I9" s="6" t="n"/>
      <c r="J9" s="11">
        <f>IFERROR(I9/H9,0)</f>
        <v/>
      </c>
      <c r="K9" s="1" t="n"/>
      <c r="L9" s="1" t="n"/>
      <c r="M9" s="12">
        <f>IF(B9="","",COUNTIFS($B$5:B9,B9,$G$5:G9,"경고"))</f>
        <v/>
      </c>
    </row>
    <row r="10" ht="21.75" customHeight="1" s="49">
      <c r="A10" s="6" t="n"/>
      <c r="B10" s="6" t="n"/>
      <c r="C10" s="6" t="n"/>
      <c r="D10" s="6" t="n"/>
      <c r="E10" s="11">
        <f>IFERROR(D10/C10,0)</f>
        <v/>
      </c>
      <c r="F10" s="19" t="n"/>
      <c r="G10" s="12">
        <f>IF(F10="","",IF(F10&gt;=1,"완수",IF(F10&gt;=0.9,"정상",IF(F10&gt;=0.7,"주의","경고"))))</f>
        <v/>
      </c>
      <c r="H10" s="6" t="n"/>
      <c r="I10" s="6" t="n"/>
      <c r="J10" s="11">
        <f>IFERROR(I10/H10,0)</f>
        <v/>
      </c>
      <c r="K10" s="1" t="n"/>
      <c r="L10" s="1" t="n"/>
      <c r="M10" s="12">
        <f>IF(B10="","",COUNTIFS($B$5:B10,B10,$G$5:G10,"경고"))</f>
        <v/>
      </c>
    </row>
    <row r="11" ht="21.75" customHeight="1" s="49">
      <c r="A11" s="6" t="n"/>
      <c r="B11" s="6" t="n"/>
      <c r="C11" s="6" t="n"/>
      <c r="D11" s="6" t="n"/>
      <c r="E11" s="11">
        <f>IFERROR(D11/C11,0)</f>
        <v/>
      </c>
      <c r="F11" s="19" t="n"/>
      <c r="G11" s="12">
        <f>IF(F11="","",IF(F11&gt;=1,"완수",IF(F11&gt;=0.9,"정상",IF(F11&gt;=0.7,"주의","경고"))))</f>
        <v/>
      </c>
      <c r="H11" s="6" t="n"/>
      <c r="I11" s="6" t="n"/>
      <c r="J11" s="11">
        <f>IFERROR(I11/H11,0)</f>
        <v/>
      </c>
      <c r="K11" s="1" t="n"/>
      <c r="L11" s="1" t="n"/>
      <c r="M11" s="12">
        <f>IF(B11="","",COUNTIFS($B$5:B11,B11,$G$5:G11,"경고"))</f>
        <v/>
      </c>
    </row>
    <row r="12" ht="21.75" customHeight="1" s="49">
      <c r="A12" s="6" t="n"/>
      <c r="B12" s="6" t="n"/>
      <c r="C12" s="6" t="n"/>
      <c r="D12" s="6" t="n"/>
      <c r="E12" s="11">
        <f>IFERROR(D12/C12,0)</f>
        <v/>
      </c>
      <c r="F12" s="19" t="n"/>
      <c r="G12" s="12">
        <f>IF(F12="","",IF(F12&gt;=1,"완수",IF(F12&gt;=0.9,"정상",IF(F12&gt;=0.7,"주의","경고"))))</f>
        <v/>
      </c>
      <c r="H12" s="6" t="n"/>
      <c r="I12" s="6" t="n"/>
      <c r="J12" s="11">
        <f>IFERROR(I12/H12,0)</f>
        <v/>
      </c>
      <c r="K12" s="1" t="n"/>
      <c r="L12" s="1" t="n"/>
      <c r="M12" s="12">
        <f>IF(B12="","",COUNTIFS($B$5:B12,B12,$G$5:G12,"경고"))</f>
        <v/>
      </c>
    </row>
    <row r="13" ht="21.75" customHeight="1" s="49">
      <c r="A13" s="6" t="n"/>
      <c r="B13" s="6" t="n"/>
      <c r="C13" s="6" t="n"/>
      <c r="D13" s="6" t="n"/>
      <c r="E13" s="11">
        <f>IFERROR(D13/C13,0)</f>
        <v/>
      </c>
      <c r="F13" s="19" t="n"/>
      <c r="G13" s="12">
        <f>IF(F13="","",IF(F13&gt;=1,"완수",IF(F13&gt;=0.9,"정상",IF(F13&gt;=0.7,"주의","경고"))))</f>
        <v/>
      </c>
      <c r="H13" s="6" t="n"/>
      <c r="I13" s="6" t="n"/>
      <c r="J13" s="11">
        <f>IFERROR(I13/H13,0)</f>
        <v/>
      </c>
      <c r="K13" s="1" t="n"/>
      <c r="L13" s="1" t="n"/>
      <c r="M13" s="12">
        <f>IF(B13="","",COUNTIFS($B$5:B13,B13,$G$5:G13,"경고"))</f>
        <v/>
      </c>
    </row>
    <row r="14" ht="21.75" customHeight="1" s="49">
      <c r="A14" s="6" t="n"/>
      <c r="B14" s="6" t="n"/>
      <c r="C14" s="6" t="n"/>
      <c r="D14" s="6" t="n"/>
      <c r="E14" s="11">
        <f>IFERROR(D14/C14,0)</f>
        <v/>
      </c>
      <c r="F14" s="19" t="n"/>
      <c r="G14" s="12">
        <f>IF(F14="","",IF(F14&gt;=1,"완수",IF(F14&gt;=0.9,"정상",IF(F14&gt;=0.7,"주의","경고"))))</f>
        <v/>
      </c>
      <c r="H14" s="6" t="n"/>
      <c r="I14" s="6" t="n"/>
      <c r="J14" s="11">
        <f>IFERROR(I14/H14,0)</f>
        <v/>
      </c>
      <c r="K14" s="1" t="n"/>
      <c r="L14" s="1" t="n"/>
      <c r="M14" s="12">
        <f>IF(B14="","",COUNTIFS($B$5:B14,B14,$G$5:G14,"경고"))</f>
        <v/>
      </c>
    </row>
    <row r="15" ht="21.75" customHeight="1" s="49">
      <c r="A15" s="6" t="n"/>
      <c r="B15" s="6" t="n"/>
      <c r="C15" s="6" t="n"/>
      <c r="D15" s="6" t="n"/>
      <c r="E15" s="11">
        <f>IFERROR(D15/C15,0)</f>
        <v/>
      </c>
      <c r="F15" s="19" t="n"/>
      <c r="G15" s="12">
        <f>IF(F15="","",IF(F15&gt;=1,"완수",IF(F15&gt;=0.9,"정상",IF(F15&gt;=0.7,"주의","경고"))))</f>
        <v/>
      </c>
      <c r="H15" s="6" t="n"/>
      <c r="I15" s="6" t="n"/>
      <c r="J15" s="11">
        <f>IFERROR(I15/H15,0)</f>
        <v/>
      </c>
      <c r="K15" s="1" t="n"/>
      <c r="L15" s="1" t="n"/>
      <c r="M15" s="12">
        <f>IF(B15="","",COUNTIFS($B$5:B15,B15,$G$5:G15,"경고"))</f>
        <v/>
      </c>
    </row>
    <row r="16" ht="21.75" customHeight="1" s="49">
      <c r="A16" s="6" t="n"/>
      <c r="B16" s="6" t="n"/>
      <c r="C16" s="6" t="n"/>
      <c r="D16" s="6" t="n"/>
      <c r="E16" s="11">
        <f>IFERROR(D16/C16,0)</f>
        <v/>
      </c>
      <c r="F16" s="19" t="n"/>
      <c r="G16" s="12">
        <f>IF(F16="","",IF(F16&gt;=1,"완수",IF(F16&gt;=0.9,"정상",IF(F16&gt;=0.7,"주의","경고"))))</f>
        <v/>
      </c>
      <c r="H16" s="6" t="n"/>
      <c r="I16" s="6" t="n"/>
      <c r="J16" s="11">
        <f>IFERROR(I16/H16,0)</f>
        <v/>
      </c>
      <c r="K16" s="1" t="n"/>
      <c r="L16" s="1" t="n"/>
      <c r="M16" s="12">
        <f>IF(B16="","",COUNTIFS($B$5:B16,B16,$G$5:G16,"경고"))</f>
        <v/>
      </c>
    </row>
    <row r="17" ht="21.75" customHeight="1" s="49">
      <c r="A17" s="6" t="n"/>
      <c r="B17" s="6" t="n"/>
      <c r="C17" s="6" t="n"/>
      <c r="D17" s="6" t="n"/>
      <c r="E17" s="11">
        <f>IFERROR(D17/C17,0)</f>
        <v/>
      </c>
      <c r="F17" s="19" t="n"/>
      <c r="G17" s="12">
        <f>IF(F17="","",IF(F17&gt;=1,"완수",IF(F17&gt;=0.9,"정상",IF(F17&gt;=0.7,"주의","경고"))))</f>
        <v/>
      </c>
      <c r="H17" s="6" t="n"/>
      <c r="I17" s="6" t="n"/>
      <c r="J17" s="11">
        <f>IFERROR(I17/H17,0)</f>
        <v/>
      </c>
      <c r="K17" s="1" t="n"/>
      <c r="L17" s="1" t="n"/>
      <c r="M17" s="12">
        <f>IF(B17="","",COUNTIFS($B$5:B17,B17,$G$5:G17,"경고"))</f>
        <v/>
      </c>
    </row>
    <row r="18" ht="21.75" customHeight="1" s="49">
      <c r="A18" s="6" t="n"/>
      <c r="B18" s="6" t="n"/>
      <c r="C18" s="6" t="n"/>
      <c r="D18" s="6" t="n"/>
      <c r="E18" s="11">
        <f>IFERROR(D18/C18,0)</f>
        <v/>
      </c>
      <c r="F18" s="19" t="n"/>
      <c r="G18" s="12">
        <f>IF(F18="","",IF(F18&gt;=1,"완수",IF(F18&gt;=0.9,"정상",IF(F18&gt;=0.7,"주의","경고"))))</f>
        <v/>
      </c>
      <c r="H18" s="6" t="n"/>
      <c r="I18" s="6" t="n"/>
      <c r="J18" s="11">
        <f>IFERROR(I18/H18,0)</f>
        <v/>
      </c>
      <c r="K18" s="1" t="n"/>
      <c r="L18" s="1" t="n"/>
      <c r="M18" s="12">
        <f>IF(B18="","",COUNTIFS($B$5:B18,B18,$G$5:G18,"경고"))</f>
        <v/>
      </c>
    </row>
    <row r="19" ht="21.75" customHeight="1" s="49">
      <c r="A19" s="6" t="n"/>
      <c r="B19" s="6" t="n"/>
      <c r="C19" s="6" t="n"/>
      <c r="D19" s="6" t="n"/>
      <c r="E19" s="11">
        <f>IFERROR(D19/C19,0)</f>
        <v/>
      </c>
      <c r="F19" s="19" t="n"/>
      <c r="G19" s="12">
        <f>IF(F19="","",IF(F19&gt;=1,"완수",IF(F19&gt;=0.9,"정상",IF(F19&gt;=0.7,"주의","경고"))))</f>
        <v/>
      </c>
      <c r="H19" s="6" t="n"/>
      <c r="I19" s="6" t="n"/>
      <c r="J19" s="11">
        <f>IFERROR(I19/H19,0)</f>
        <v/>
      </c>
      <c r="K19" s="1" t="n"/>
      <c r="L19" s="1" t="n"/>
      <c r="M19" s="12">
        <f>IF(B19="","",COUNTIFS($B$5:B19,B19,$G$5:G19,"경고"))</f>
        <v/>
      </c>
    </row>
    <row r="20" ht="21.75" customHeight="1" s="49">
      <c r="A20" s="6" t="n"/>
      <c r="B20" s="6" t="n"/>
      <c r="C20" s="6" t="n"/>
      <c r="D20" s="6" t="n"/>
      <c r="E20" s="11">
        <f>IFERROR(D20/C20,0)</f>
        <v/>
      </c>
      <c r="F20" s="19" t="n"/>
      <c r="G20" s="12">
        <f>IF(F20="","",IF(F20&gt;=1,"완수",IF(F20&gt;=0.9,"정상",IF(F20&gt;=0.7,"주의","경고"))))</f>
        <v/>
      </c>
      <c r="H20" s="6" t="n"/>
      <c r="I20" s="6" t="n"/>
      <c r="J20" s="11">
        <f>IFERROR(I20/H20,0)</f>
        <v/>
      </c>
      <c r="K20" s="1" t="n"/>
      <c r="L20" s="1" t="n"/>
      <c r="M20" s="12">
        <f>IF(B20="","",COUNTIFS($B$5:B20,B20,$G$5:G20,"경고"))</f>
        <v/>
      </c>
    </row>
    <row r="21" ht="21.75" customHeight="1" s="49">
      <c r="A21" s="6" t="n"/>
      <c r="B21" s="6" t="n"/>
      <c r="C21" s="6" t="n"/>
      <c r="D21" s="6" t="n"/>
      <c r="E21" s="11">
        <f>IFERROR(D21/C21,0)</f>
        <v/>
      </c>
      <c r="F21" s="19" t="n"/>
      <c r="G21" s="12">
        <f>IF(F21="","",IF(F21&gt;=1,"완수",IF(F21&gt;=0.9,"정상",IF(F21&gt;=0.7,"주의","경고"))))</f>
        <v/>
      </c>
      <c r="H21" s="6" t="n"/>
      <c r="I21" s="6" t="n"/>
      <c r="J21" s="11">
        <f>IFERROR(I21/H21,0)</f>
        <v/>
      </c>
      <c r="K21" s="1" t="n"/>
      <c r="L21" s="1" t="n"/>
      <c r="M21" s="12">
        <f>IF(B21="","",COUNTIFS($B$5:B21,B21,$G$5:G21,"경고"))</f>
        <v/>
      </c>
    </row>
    <row r="22" ht="21.75" customHeight="1" s="49">
      <c r="A22" s="6" t="n"/>
      <c r="B22" s="6" t="n"/>
      <c r="C22" s="6" t="n"/>
      <c r="D22" s="6" t="n"/>
      <c r="E22" s="11">
        <f>IFERROR(D22/C22,0)</f>
        <v/>
      </c>
      <c r="F22" s="19" t="n"/>
      <c r="G22" s="12">
        <f>IF(F22="","",IF(F22&gt;=1,"완수",IF(F22&gt;=0.9,"정상",IF(F22&gt;=0.7,"주의","경고"))))</f>
        <v/>
      </c>
      <c r="H22" s="6" t="n"/>
      <c r="I22" s="6" t="n"/>
      <c r="J22" s="11">
        <f>IFERROR(I22/H22,0)</f>
        <v/>
      </c>
      <c r="K22" s="1" t="n"/>
      <c r="L22" s="1" t="n"/>
      <c r="M22" s="12">
        <f>IF(B22="","",COUNTIFS($B$5:B22,B22,$G$5:G22,"경고"))</f>
        <v/>
      </c>
    </row>
    <row r="23" ht="21.75" customHeight="1" s="49">
      <c r="A23" s="6" t="n"/>
      <c r="B23" s="6" t="n"/>
      <c r="C23" s="6" t="n"/>
      <c r="D23" s="6" t="n"/>
      <c r="E23" s="11">
        <f>IFERROR(D23/C23,0)</f>
        <v/>
      </c>
      <c r="F23" s="19" t="n"/>
      <c r="G23" s="12">
        <f>IF(F23="","",IF(F23&gt;=1,"완수",IF(F23&gt;=0.9,"정상",IF(F23&gt;=0.7,"주의","경고"))))</f>
        <v/>
      </c>
      <c r="H23" s="6" t="n"/>
      <c r="I23" s="6" t="n"/>
      <c r="J23" s="11">
        <f>IFERROR(I23/H23,0)</f>
        <v/>
      </c>
      <c r="K23" s="1" t="n"/>
      <c r="L23" s="1" t="n"/>
      <c r="M23" s="12">
        <f>IF(B23="","",COUNTIFS($B$5:B23,B23,$G$5:G23,"경고"))</f>
        <v/>
      </c>
    </row>
    <row r="24" ht="21.75" customHeight="1" s="49">
      <c r="A24" s="6" t="n"/>
      <c r="B24" s="6" t="n"/>
      <c r="C24" s="6" t="n"/>
      <c r="D24" s="6" t="n"/>
      <c r="E24" s="11">
        <f>IFERROR(D24/C24,0)</f>
        <v/>
      </c>
      <c r="F24" s="19" t="n"/>
      <c r="G24" s="12">
        <f>IF(F24="","",IF(F24&gt;=1,"완수",IF(F24&gt;=0.9,"정상",IF(F24&gt;=0.7,"주의","경고"))))</f>
        <v/>
      </c>
      <c r="H24" s="6" t="n"/>
      <c r="I24" s="6" t="n"/>
      <c r="J24" s="11">
        <f>IFERROR(I24/H24,0)</f>
        <v/>
      </c>
      <c r="K24" s="1" t="n"/>
      <c r="L24" s="1" t="n"/>
      <c r="M24" s="12">
        <f>IF(B24="","",COUNTIFS($B$5:B24,B24,$G$5:G24,"경고"))</f>
        <v/>
      </c>
    </row>
    <row r="25" ht="21.75" customHeight="1" s="49">
      <c r="A25" s="6" t="n"/>
      <c r="B25" s="6" t="n"/>
      <c r="C25" s="6" t="n"/>
      <c r="D25" s="6" t="n"/>
      <c r="E25" s="11">
        <f>IFERROR(D25/C25,0)</f>
        <v/>
      </c>
      <c r="F25" s="19" t="n"/>
      <c r="G25" s="12">
        <f>IF(F25="","",IF(F25&gt;=1,"완수",IF(F25&gt;=0.9,"정상",IF(F25&gt;=0.7,"주의","경고"))))</f>
        <v/>
      </c>
      <c r="H25" s="6" t="n"/>
      <c r="I25" s="6" t="n"/>
      <c r="J25" s="11">
        <f>IFERROR(I25/H25,0)</f>
        <v/>
      </c>
      <c r="K25" s="1" t="n"/>
      <c r="L25" s="1" t="n"/>
      <c r="M25" s="12">
        <f>IF(B25="","",COUNTIFS($B$5:B25,B25,$G$5:G25,"경고"))</f>
        <v/>
      </c>
    </row>
    <row r="26" ht="21.75" customHeight="1" s="49">
      <c r="A26" s="6" t="n"/>
      <c r="B26" s="6" t="n"/>
      <c r="C26" s="6" t="n"/>
      <c r="D26" s="6" t="n"/>
      <c r="E26" s="11">
        <f>IFERROR(D26/C26,0)</f>
        <v/>
      </c>
      <c r="F26" s="19" t="n"/>
      <c r="G26" s="12">
        <f>IF(F26="","",IF(F26&gt;=1,"완수",IF(F26&gt;=0.9,"정상",IF(F26&gt;=0.7,"주의","경고"))))</f>
        <v/>
      </c>
      <c r="H26" s="6" t="n"/>
      <c r="I26" s="6" t="n"/>
      <c r="J26" s="11">
        <f>IFERROR(I26/H26,0)</f>
        <v/>
      </c>
      <c r="K26" s="1" t="n"/>
      <c r="L26" s="1" t="n"/>
      <c r="M26" s="12">
        <f>IF(B26="","",COUNTIFS($B$5:B26,B26,$G$5:G26,"경고"))</f>
        <v/>
      </c>
    </row>
    <row r="27" ht="21.75" customHeight="1" s="49">
      <c r="A27" s="6" t="n"/>
      <c r="B27" s="6" t="n"/>
      <c r="C27" s="6" t="n"/>
      <c r="D27" s="6" t="n"/>
      <c r="E27" s="11">
        <f>IFERROR(D27/C27,0)</f>
        <v/>
      </c>
      <c r="F27" s="19" t="n"/>
      <c r="G27" s="12">
        <f>IF(F27="","",IF(F27&gt;=1,"완수",IF(F27&gt;=0.9,"정상",IF(F27&gt;=0.7,"주의","경고"))))</f>
        <v/>
      </c>
      <c r="H27" s="6" t="n"/>
      <c r="I27" s="6" t="n"/>
      <c r="J27" s="11">
        <f>IFERROR(I27/H27,0)</f>
        <v/>
      </c>
      <c r="K27" s="1" t="n"/>
      <c r="L27" s="1" t="n"/>
      <c r="M27" s="12">
        <f>IF(B27="","",COUNTIFS($B$5:B27,B27,$G$5:G27,"경고"))</f>
        <v/>
      </c>
    </row>
    <row r="28" ht="21.75" customHeight="1" s="49">
      <c r="A28" s="6" t="n"/>
      <c r="B28" s="6" t="n"/>
      <c r="C28" s="6" t="n"/>
      <c r="D28" s="6" t="n"/>
      <c r="E28" s="11">
        <f>IFERROR(D28/C28,0)</f>
        <v/>
      </c>
      <c r="F28" s="19" t="n"/>
      <c r="G28" s="12">
        <f>IF(F28="","",IF(F28&gt;=1,"완수",IF(F28&gt;=0.9,"정상",IF(F28&gt;=0.7,"주의","경고"))))</f>
        <v/>
      </c>
      <c r="H28" s="6" t="n"/>
      <c r="I28" s="6" t="n"/>
      <c r="J28" s="11">
        <f>IFERROR(I28/H28,0)</f>
        <v/>
      </c>
      <c r="K28" s="1" t="n"/>
      <c r="L28" s="1" t="n"/>
      <c r="M28" s="12">
        <f>IF(B28="","",COUNTIFS($B$5:B28,B28,$G$5:G28,"경고"))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2026-07-12T17:40:57Z</dcterms:created>
  <dcterms:modified xsi:type="dcterms:W3CDTF">2026-09-01T09:17:00Z</dcterms:modified>
  <cp:lastModifiedBy>서창환</cp:lastModifiedBy>
  <cp:revision>0</cp:revision>
</cp:coreProperties>
</file>