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500" firstSheet="0" activeTab="1" autoFilterDateGrouping="1"/>
  </bookViews>
  <sheets>
    <sheet name="00_운영규칙" sheetId="1" state="visible" r:id="rId1"/>
    <sheet name="01_업무지시서" sheetId="2" state="visible" r:id="rId2"/>
    <sheet name="02_주간완료보고서" sheetId="3" state="visible" r:id="rId3"/>
    <sheet name="03_주간관리대장" sheetId="4" state="visible" r:id="rId4"/>
  </sheets>
  <definedNames/>
  <calcPr calcId="191029" fullCalcOnLoad="1" iterateDelta="0.0001"/>
</workbook>
</file>

<file path=xl/styles.xml><?xml version="1.0" encoding="utf-8"?>
<styleSheet xmlns="http://schemas.openxmlformats.org/spreadsheetml/2006/main">
  <numFmts count="1">
    <numFmt numFmtId="164" formatCode="0.0"/>
  </numFmts>
  <fonts count="40">
    <font>
      <name val="Calibri"/>
      <charset val="1"/>
      <family val="2"/>
      <color theme="1"/>
      <sz val="11"/>
    </font>
    <font>
      <name val="맑은 고딕"/>
      <charset val="129"/>
      <family val="3"/>
      <b val="1"/>
      <color rgb="FF1F3864"/>
      <sz val="18"/>
    </font>
    <font>
      <name val="Noto Sans CJK SC"/>
      <family val="2"/>
      <b val="1"/>
      <color rgb="FF1F3864"/>
      <sz val="18"/>
    </font>
    <font>
      <name val="Noto Sans CJK SC"/>
      <family val="2"/>
      <color rgb="FF808080"/>
      <sz val="9"/>
    </font>
    <font>
      <name val="맑은 고딕"/>
      <charset val="129"/>
      <family val="3"/>
      <color rgb="FF808080"/>
      <sz val="9"/>
    </font>
    <font>
      <name val="Noto Sans CJK SC"/>
      <family val="2"/>
      <b val="1"/>
      <color rgb="FF000000"/>
      <sz val="9"/>
    </font>
    <font>
      <name val="Noto Sans CJK SC"/>
      <family val="2"/>
      <b val="1"/>
      <color rgb="FFFFFFFF"/>
      <sz val="9"/>
    </font>
    <font>
      <name val="Noto Sans CJK SC"/>
      <family val="2"/>
      <color rgb="FF000000"/>
      <sz val="9"/>
    </font>
    <font>
      <name val="맑은 고딕"/>
      <charset val="129"/>
      <family val="3"/>
      <color rgb="FF000000"/>
      <sz val="9"/>
    </font>
    <font>
      <name val="맑은 고딕"/>
      <charset val="129"/>
      <family val="3"/>
      <b val="1"/>
      <color rgb="FF000000"/>
      <sz val="9"/>
    </font>
    <font>
      <name val="맑은 고딕"/>
      <charset val="129"/>
      <family val="3"/>
      <b val="1"/>
      <color rgb="FFFFFFFF"/>
      <sz val="11"/>
    </font>
    <font>
      <name val="Noto Sans CJK SC"/>
      <family val="2"/>
      <b val="1"/>
      <color rgb="FFFFFFFF"/>
      <sz val="11"/>
    </font>
    <font>
      <name val="Noto Sans CJK SC"/>
      <family val="2"/>
      <color rgb="FFA6A6A6"/>
      <sz val="8"/>
    </font>
    <font>
      <name val="맑은 고딕"/>
      <charset val="129"/>
      <family val="3"/>
      <color rgb="FFA6A6A6"/>
      <sz val="8"/>
    </font>
    <font>
      <name val="Noto Sans CJK SC"/>
      <family val="2"/>
      <color rgb="FF808080"/>
      <sz val="8"/>
    </font>
    <font>
      <name val="맑은 고딕"/>
      <charset val="129"/>
      <family val="3"/>
      <b val="1"/>
      <color rgb="FFFFFFFF"/>
      <sz val="9"/>
    </font>
    <font>
      <name val="맑은 고딕"/>
      <charset val="129"/>
      <family val="3"/>
      <color rgb="FF808080"/>
      <sz val="8"/>
    </font>
    <font>
      <name val="맑은 고딕"/>
      <charset val="129"/>
      <family val="3"/>
      <b val="1"/>
      <color rgb="FF000000"/>
      <sz val="12"/>
    </font>
    <font>
      <name val="Noto Sans CJK SC"/>
      <family val="2"/>
      <b val="1"/>
      <color rgb="FFC00000"/>
      <sz val="9"/>
    </font>
    <font>
      <name val="맑은 고딕"/>
      <charset val="129"/>
      <family val="3"/>
      <b val="1"/>
      <color rgb="FF000000"/>
      <sz val="13"/>
    </font>
    <font>
      <name val="Noto Sans CJK SC"/>
      <family val="2"/>
      <b val="1"/>
      <color rgb="FF000000"/>
      <sz val="12"/>
    </font>
    <font>
      <name val="맑은 고딕"/>
      <charset val="129"/>
      <family val="3"/>
      <b val="1"/>
      <color rgb="FF000000"/>
      <sz val="10"/>
    </font>
    <font>
      <name val="돋움"/>
      <charset val="129"/>
      <family val="3"/>
      <sz val="8"/>
    </font>
    <font>
      <name val="Arial"/>
      <family val="2"/>
      <color rgb="FF000000"/>
      <sz val="9"/>
    </font>
    <font>
      <name val="Noto Sans CJK SC"/>
      <charset val="129"/>
      <family val="3"/>
      <color rgb="FF000000"/>
      <sz val="9"/>
    </font>
    <font>
      <name val="Noto Sans CJK SC"/>
      <charset val="129"/>
      <family val="2"/>
      <color rgb="FF000000"/>
      <sz val="9"/>
    </font>
    <font>
      <name val="Noto Sans CJK SC"/>
      <family val="2"/>
      <color theme="1"/>
      <sz val="8"/>
    </font>
    <font>
      <name val="Noto Sans CJK SC"/>
      <family val="2"/>
      <color theme="1"/>
      <sz val="9"/>
    </font>
    <font>
      <name val="Calibri"/>
      <charset val="1"/>
      <family val="2"/>
      <color theme="1"/>
      <sz val="9"/>
    </font>
    <font>
      <name val="맑은 고딕"/>
      <charset val="129"/>
      <family val="3"/>
      <color theme="1"/>
      <sz val="9"/>
    </font>
    <font>
      <name val="Arial"/>
      <family val="2"/>
      <color theme="1"/>
      <sz val="9"/>
    </font>
    <font>
      <name val="Noto Sans CJK SC"/>
      <charset val="129"/>
      <family val="3"/>
      <color theme="1"/>
      <sz val="9"/>
    </font>
    <font>
      <name val="맑은 고딕"/>
      <charset val="129"/>
      <family val="3"/>
      <color theme="1"/>
      <sz val="8"/>
    </font>
    <font>
      <name val="Noto Sans CJK SC"/>
      <charset val="129"/>
      <family val="3"/>
      <color theme="1"/>
      <sz val="8"/>
    </font>
    <font>
      <name val="Arial"/>
      <family val="2"/>
      <color theme="1"/>
      <sz val="8"/>
    </font>
    <font>
      <name val="Arial"/>
      <family val="2"/>
      <b val="1"/>
      <color rgb="FF000000"/>
      <sz val="9"/>
    </font>
    <font>
      <name val="Noto Sans CJK SC"/>
      <charset val="129"/>
      <family val="3"/>
      <b val="1"/>
      <color rgb="FF000000"/>
      <sz val="9"/>
    </font>
    <font>
      <name val="맑은 고딕"/>
      <charset val="129"/>
      <family val="3"/>
      <color rgb="FFFF0000"/>
      <sz val="9"/>
    </font>
    <font>
      <name val="Arial"/>
      <family val="2"/>
      <color rgb="FFFF0000"/>
      <sz val="9"/>
    </font>
    <font>
      <name val="Noto Sans CJK SC"/>
      <charset val="129"/>
      <family val="3"/>
      <color rgb="FFFF0000"/>
      <sz val="9"/>
    </font>
  </fonts>
  <fills count="9">
    <fill>
      <patternFill/>
    </fill>
    <fill>
      <patternFill patternType="gray125"/>
    </fill>
    <fill>
      <patternFill patternType="solid">
        <fgColor rgb="FF2E5B9A"/>
        <bgColor rgb="FF0066CC"/>
      </patternFill>
    </fill>
    <fill>
      <patternFill patternType="solid">
        <fgColor rgb="FFD9D9D9"/>
        <bgColor rgb="FFE2EFDA"/>
      </patternFill>
    </fill>
    <fill>
      <patternFill patternType="solid">
        <fgColor rgb="FFFFF2CC"/>
        <bgColor rgb="FFFCE4D6"/>
      </patternFill>
    </fill>
    <fill>
      <patternFill patternType="solid">
        <fgColor rgb="FF1F3864"/>
        <bgColor rgb="FF333333"/>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bottom style="thin">
        <color indexed="64"/>
      </bottom>
      <diagonal/>
    </border>
    <border>
      <left style="thin">
        <color rgb="FFBFBFBF"/>
      </left>
      <right style="thin">
        <color rgb="FFBFBFBF"/>
      </right>
      <top style="thin">
        <color rgb="FFBFBFBF"/>
      </top>
      <bottom style="thin">
        <color indexed="64"/>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s>
  <cellStyleXfs count="1">
    <xf numFmtId="0" fontId="0" fillId="0" borderId="0"/>
  </cellStyleXfs>
  <cellXfs count="122">
    <xf numFmtId="0" fontId="0" fillId="0" borderId="0" pivotButton="0" quotePrefix="0" xfId="0"/>
    <xf numFmtId="0" fontId="8" fillId="4" borderId="1" applyAlignment="1" pivotButton="0" quotePrefix="0" xfId="0">
      <alignment horizontal="left" vertical="center" wrapText="1"/>
    </xf>
    <xf numFmtId="0" fontId="6" fillId="2" borderId="1" applyAlignment="1" pivotButton="0" quotePrefix="0" xfId="0">
      <alignment horizontal="center" vertical="center" wrapText="1"/>
    </xf>
    <xf numFmtId="0" fontId="3" fillId="0" borderId="0" pivotButton="0" quotePrefix="0" xfId="0"/>
    <xf numFmtId="0" fontId="5"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14" fillId="6" borderId="1" applyAlignment="1" pivotButton="0" quotePrefix="0" xfId="0">
      <alignment horizontal="center" vertical="center" wrapText="1"/>
    </xf>
    <xf numFmtId="164" fontId="8" fillId="4" borderId="1" applyAlignment="1" pivotButton="0" quotePrefix="0" xfId="0">
      <alignment horizontal="center" vertical="center" wrapText="1"/>
    </xf>
    <xf numFmtId="164" fontId="8" fillId="7" borderId="1" applyAlignment="1" pivotButton="0" quotePrefix="0" xfId="0">
      <alignment horizontal="center" vertical="center" wrapText="1"/>
    </xf>
    <xf numFmtId="9" fontId="8"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15" fillId="2" borderId="1" applyAlignment="1" pivotButton="0" quotePrefix="0" xfId="0">
      <alignment horizontal="center" vertical="center" wrapText="1"/>
    </xf>
    <xf numFmtId="0" fontId="16" fillId="6" borderId="1" applyAlignment="1" pivotButton="0" quotePrefix="0" xfId="0">
      <alignment horizontal="center" vertical="center" wrapText="1"/>
    </xf>
    <xf numFmtId="164" fontId="16" fillId="6" borderId="1" applyAlignment="1" pivotButton="0" quotePrefix="0" xfId="0">
      <alignment horizontal="center" vertical="center" wrapText="1"/>
    </xf>
    <xf numFmtId="9" fontId="16" fillId="6" borderId="1" applyAlignment="1" pivotButton="0" quotePrefix="0" xfId="0">
      <alignment horizontal="center" vertical="center" wrapText="1"/>
    </xf>
    <xf numFmtId="0" fontId="17" fillId="0" borderId="1" applyAlignment="1" pivotButton="0" quotePrefix="0" xfId="0">
      <alignment horizontal="center" vertical="center" wrapText="1"/>
    </xf>
    <xf numFmtId="0" fontId="8" fillId="4" borderId="1" applyAlignment="1" pivotButton="0" quotePrefix="0" xfId="0">
      <alignment horizontal="left" vertical="top" wrapText="1"/>
    </xf>
    <xf numFmtId="9" fontId="8" fillId="4" borderId="1" applyAlignment="1" pivotButton="0" quotePrefix="0" xfId="0">
      <alignment horizontal="center" vertical="center" wrapText="1"/>
    </xf>
    <xf numFmtId="164" fontId="9" fillId="7" borderId="1" applyAlignment="1" pivotButton="0" quotePrefix="0" xfId="0">
      <alignment horizontal="center" vertical="center" wrapText="1"/>
    </xf>
    <xf numFmtId="9" fontId="9" fillId="7"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8" borderId="1" applyAlignment="1" pivotButton="0" quotePrefix="0" xfId="0">
      <alignment horizontal="center" vertical="center" wrapText="1"/>
    </xf>
    <xf numFmtId="0" fontId="3" fillId="0" borderId="0" applyAlignment="1" pivotButton="0" quotePrefix="0" xfId="0">
      <alignment horizontal="center" vertical="center"/>
    </xf>
    <xf numFmtId="9" fontId="19" fillId="7" borderId="1" applyAlignment="1" pivotButton="0" quotePrefix="0" xfId="0">
      <alignment horizontal="center" vertical="center" wrapText="1"/>
    </xf>
    <xf numFmtId="0" fontId="20" fillId="7" borderId="1" applyAlignment="1" pivotButton="0" quotePrefix="0" xfId="0">
      <alignment horizontal="center" vertical="center" wrapText="1"/>
    </xf>
    <xf numFmtId="9" fontId="21" fillId="7" borderId="1" applyAlignment="1" pivotButton="0" quotePrefix="0" xfId="0">
      <alignment horizontal="center" vertical="center" wrapText="1"/>
    </xf>
    <xf numFmtId="1" fontId="8"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2"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5" fillId="0" borderId="0" applyAlignment="1" pivotButton="0" quotePrefix="0" xfId="0">
      <alignment horizontal="center" vertical="center"/>
    </xf>
    <xf numFmtId="0" fontId="5" fillId="3" borderId="3" applyAlignment="1" pivotButton="0" quotePrefix="0" xfId="0">
      <alignment horizontal="center" vertical="center" wrapText="1"/>
    </xf>
    <xf numFmtId="0" fontId="7" fillId="4" borderId="3" applyAlignment="1" pivotButton="0" quotePrefix="0" xfId="0">
      <alignment horizontal="center" vertical="center" wrapText="1"/>
    </xf>
    <xf numFmtId="0" fontId="24" fillId="4" borderId="3" applyAlignment="1" pivotButton="0" quotePrefix="0" xfId="0">
      <alignment horizontal="center" vertical="center" wrapText="1"/>
    </xf>
    <xf numFmtId="0" fontId="25" fillId="4" borderId="3" applyAlignment="1" pivotButton="0" quotePrefix="0" xfId="0">
      <alignment horizontal="center" vertical="center" wrapText="1"/>
    </xf>
    <xf numFmtId="0" fontId="0" fillId="0" borderId="2" pivotButton="0" quotePrefix="0" xfId="0"/>
    <xf numFmtId="0" fontId="8" fillId="7" borderId="1" applyAlignment="1" pivotButton="0" quotePrefix="0" xfId="0">
      <alignment horizontal="center" vertical="center" wrapText="1"/>
    </xf>
    <xf numFmtId="0" fontId="0" fillId="0" borderId="7" pivotButton="0" quotePrefix="0" xfId="0"/>
    <xf numFmtId="0" fontId="0" fillId="0" borderId="6" pivotButton="0" quotePrefix="0" xfId="0"/>
    <xf numFmtId="0" fontId="12"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10" fillId="5" borderId="0" applyAlignment="1" pivotButton="0" quotePrefix="0" xfId="0">
      <alignment horizontal="left" vertical="center" wrapText="1"/>
    </xf>
    <xf numFmtId="0" fontId="0" fillId="0" borderId="0" pivotButton="0" quotePrefix="0" xfId="0"/>
    <xf numFmtId="0" fontId="2" fillId="0" borderId="0" applyAlignment="1" pivotButton="0" quotePrefix="0" xfId="0">
      <alignment horizontal="center" vertical="center"/>
    </xf>
    <xf numFmtId="0" fontId="18" fillId="6" borderId="1"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0" fillId="0" borderId="0" applyAlignment="1" pivotButton="0" quotePrefix="0" xfId="0">
      <alignment horizontal="center" vertical="center"/>
    </xf>
    <xf numFmtId="0" fontId="8" fillId="7" borderId="1" applyAlignment="1" pivotButton="0" quotePrefix="0" xfId="0">
      <alignment horizontal="left" vertical="center" wrapText="1"/>
    </xf>
    <xf numFmtId="0" fontId="21" fillId="8" borderId="1" applyAlignment="1" pivotButton="0" quotePrefix="0" xfId="0">
      <alignment horizontal="center" vertical="center" wrapText="1"/>
    </xf>
    <xf numFmtId="0" fontId="12" fillId="4" borderId="1" applyAlignment="1" pivotButton="0" quotePrefix="0" xfId="0">
      <alignment horizontal="left" vertical="center" wrapText="1"/>
    </xf>
    <xf numFmtId="0" fontId="9" fillId="8" borderId="1" applyAlignment="1" pivotButton="0" quotePrefix="0" xfId="0">
      <alignment horizontal="left" vertical="top" wrapText="1"/>
    </xf>
    <xf numFmtId="0" fontId="0" fillId="0" borderId="4" pivotButton="0" quotePrefix="0" xfId="0"/>
    <xf numFmtId="0" fontId="0" fillId="0" borderId="5"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8" fillId="8" borderId="1" applyAlignment="1" pivotButton="0" quotePrefix="0" xfId="0">
      <alignment horizontal="center" vertical="center" wrapText="1"/>
    </xf>
    <xf numFmtId="0" fontId="3" fillId="0" borderId="0" applyAlignment="1" pivotButton="0" quotePrefix="0" xfId="0">
      <alignment horizontal="center" vertical="center"/>
    </xf>
    <xf numFmtId="0" fontId="7"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31" fillId="4" borderId="1" applyAlignment="1" pivotButton="0" quotePrefix="0" xfId="0">
      <alignment horizontal="left" vertical="top" wrapText="1"/>
    </xf>
    <xf numFmtId="0" fontId="28" fillId="0" borderId="7" applyAlignment="1" pivotButton="0" quotePrefix="0" xfId="0">
      <alignment horizontal="left"/>
    </xf>
    <xf numFmtId="0" fontId="28" fillId="0" borderId="6" applyAlignment="1" pivotButton="0" quotePrefix="0" xfId="0">
      <alignment horizontal="left"/>
    </xf>
    <xf numFmtId="0" fontId="27" fillId="4" borderId="1" applyAlignment="1" pivotButton="0" quotePrefix="0" xfId="0">
      <alignment horizontal="left" vertical="center" wrapText="1"/>
    </xf>
    <xf numFmtId="0" fontId="5" fillId="3" borderId="13" applyAlignment="1" pivotButton="0" quotePrefix="0" xfId="0">
      <alignment horizontal="center" vertical="center" wrapText="1"/>
    </xf>
    <xf numFmtId="0" fontId="5" fillId="3" borderId="7" applyAlignment="1" pivotButton="0" quotePrefix="0" xfId="0">
      <alignment horizontal="center" vertical="center" wrapText="1"/>
    </xf>
    <xf numFmtId="0" fontId="5" fillId="3" borderId="6" applyAlignment="1" pivotButton="0" quotePrefix="0" xfId="0">
      <alignment horizontal="center" vertical="center" wrapText="1"/>
    </xf>
    <xf numFmtId="0" fontId="8" fillId="4" borderId="13" applyAlignment="1" pivotButton="0" quotePrefix="0" xfId="0">
      <alignment horizontal="center" vertical="center" wrapText="1"/>
    </xf>
    <xf numFmtId="0" fontId="8" fillId="4" borderId="7" applyAlignment="1" pivotButton="0" quotePrefix="0" xfId="0">
      <alignment horizontal="center" vertical="center" wrapText="1"/>
    </xf>
    <xf numFmtId="0" fontId="8" fillId="4" borderId="6" applyAlignment="1" pivotButton="0" quotePrefix="0" xfId="0">
      <alignment horizontal="center" vertical="center" wrapText="1"/>
    </xf>
    <xf numFmtId="0" fontId="12" fillId="4" borderId="13" applyAlignment="1" pivotButton="0" quotePrefix="0" xfId="0">
      <alignment horizontal="center" vertical="center" wrapText="1"/>
    </xf>
    <xf numFmtId="0" fontId="12" fillId="4" borderId="7" applyAlignment="1" pivotButton="0" quotePrefix="0" xfId="0">
      <alignment horizontal="center" vertical="center" wrapText="1"/>
    </xf>
    <xf numFmtId="0" fontId="12" fillId="4" borderId="6" applyAlignment="1" pivotButton="0" quotePrefix="0" xfId="0">
      <alignment horizontal="center" vertical="center" wrapText="1"/>
    </xf>
    <xf numFmtId="0" fontId="13" fillId="4" borderId="13" applyAlignment="1" pivotButton="0" quotePrefix="0" xfId="0">
      <alignment vertical="top" wrapText="1"/>
    </xf>
    <xf numFmtId="0" fontId="13" fillId="4" borderId="7" applyAlignment="1" pivotButton="0" quotePrefix="0" xfId="0">
      <alignment vertical="top" wrapText="1"/>
    </xf>
    <xf numFmtId="0" fontId="13" fillId="4" borderId="6" applyAlignment="1" pivotButton="0" quotePrefix="0" xfId="0">
      <alignment vertical="top" wrapText="1"/>
    </xf>
    <xf numFmtId="0" fontId="12" fillId="4" borderId="13" applyAlignment="1" pivotButton="0" quotePrefix="0" xfId="0">
      <alignment vertical="top" wrapText="1"/>
    </xf>
    <xf numFmtId="0" fontId="12" fillId="4" borderId="7" applyAlignment="1" pivotButton="0" quotePrefix="0" xfId="0">
      <alignment vertical="top" wrapText="1"/>
    </xf>
    <xf numFmtId="0" fontId="12" fillId="4" borderId="6" applyAlignment="1" pivotButton="0" quotePrefix="0" xfId="0">
      <alignment vertical="top" wrapText="1"/>
    </xf>
    <xf numFmtId="0" fontId="11" fillId="5" borderId="11" applyAlignment="1" pivotButton="0" quotePrefix="0" xfId="0">
      <alignment horizontal="left" vertical="center" wrapText="1"/>
    </xf>
    <xf numFmtId="0" fontId="10" fillId="5" borderId="11" applyAlignment="1" pivotButton="0" quotePrefix="0" xfId="0">
      <alignment horizontal="left" vertical="center" wrapText="1"/>
    </xf>
    <xf numFmtId="0" fontId="5" fillId="7" borderId="13" applyAlignment="1" pivotButton="0" quotePrefix="0" xfId="0">
      <alignment horizontal="left" vertical="center" wrapText="1"/>
    </xf>
    <xf numFmtId="0" fontId="5" fillId="7" borderId="7" applyAlignment="1" pivotButton="0" quotePrefix="0" xfId="0">
      <alignment horizontal="left" vertical="center" wrapText="1"/>
    </xf>
    <xf numFmtId="0" fontId="5" fillId="7" borderId="6" applyAlignment="1" pivotButton="0" quotePrefix="0" xfId="0">
      <alignment horizontal="left" vertical="center" wrapText="1"/>
    </xf>
    <xf numFmtId="0" fontId="5" fillId="6" borderId="14" applyAlignment="1" pivotButton="0" quotePrefix="0" xfId="0">
      <alignment horizontal="center" vertical="center" wrapText="1"/>
    </xf>
    <xf numFmtId="0" fontId="5" fillId="6" borderId="15" applyAlignment="1" pivotButton="0" quotePrefix="0" xfId="0">
      <alignment horizontal="center" vertical="center" wrapText="1"/>
    </xf>
    <xf numFmtId="0" fontId="32" fillId="4" borderId="13" applyAlignment="1" pivotButton="0" quotePrefix="0" xfId="0">
      <alignment vertical="center" wrapText="1"/>
    </xf>
    <xf numFmtId="0" fontId="32" fillId="4" borderId="7" applyAlignment="1" pivotButton="0" quotePrefix="0" xfId="0">
      <alignment vertical="center" wrapText="1"/>
    </xf>
    <xf numFmtId="0" fontId="32" fillId="4" borderId="6" applyAlignment="1" pivotButton="0" quotePrefix="0" xfId="0">
      <alignment vertical="center" wrapText="1"/>
    </xf>
    <xf numFmtId="0" fontId="32" fillId="4" borderId="13" applyAlignment="1" pivotButton="0" quotePrefix="0" xfId="0">
      <alignment horizontal="left" vertical="center" wrapText="1"/>
    </xf>
    <xf numFmtId="0" fontId="32" fillId="4" borderId="7" applyAlignment="1" pivotButton="0" quotePrefix="0" xfId="0">
      <alignment horizontal="left" vertical="center" wrapText="1"/>
    </xf>
    <xf numFmtId="0" fontId="32" fillId="4" borderId="6" applyAlignment="1" pivotButton="0" quotePrefix="0" xfId="0">
      <alignment horizontal="left" vertical="center" wrapText="1"/>
    </xf>
    <xf numFmtId="0" fontId="26" fillId="4" borderId="1" applyAlignment="1" pivotButton="0" quotePrefix="0" xfId="0">
      <alignment horizontal="left" vertical="center" wrapText="1"/>
    </xf>
    <xf numFmtId="0" fontId="0" fillId="0" borderId="7" applyAlignment="1" pivotButton="0" quotePrefix="0" xfId="0">
      <alignment horizontal="left"/>
    </xf>
    <xf numFmtId="0" fontId="0" fillId="0" borderId="6" applyAlignment="1" pivotButton="0" quotePrefix="0" xfId="0">
      <alignment horizontal="left"/>
    </xf>
    <xf numFmtId="0" fontId="33" fillId="4" borderId="1" applyAlignment="1" pivotButton="0" quotePrefix="0" xfId="0">
      <alignment horizontal="left" vertical="center" wrapText="1"/>
    </xf>
    <xf numFmtId="0" fontId="36" fillId="6" borderId="1" applyAlignment="1" pivotButton="0" quotePrefix="0" xfId="0">
      <alignment horizontal="center" vertical="center" wrapText="1"/>
    </xf>
    <xf numFmtId="0" fontId="39" fillId="4" borderId="1" applyAlignment="1" pivotButton="0" quotePrefix="0" xfId="0">
      <alignment horizontal="center" vertical="center" wrapText="1"/>
    </xf>
    <xf numFmtId="0" fontId="24" fillId="4" borderId="1" applyAlignment="1" pivotButton="0" quotePrefix="0" xfId="0">
      <alignment horizontal="center" vertical="center" wrapText="1"/>
    </xf>
    <xf numFmtId="14" fontId="7" fillId="4" borderId="1" applyAlignment="1" pivotButton="0" quotePrefix="0" xfId="0">
      <alignment horizontal="center" vertical="center" wrapText="1"/>
    </xf>
    <xf numFmtId="0" fontId="8" fillId="4" borderId="3" applyAlignment="1" pivotButton="0" quotePrefix="0" xfId="0">
      <alignment horizontal="center" vertical="center" wrapText="1"/>
    </xf>
    <xf numFmtId="0" fontId="32" fillId="4" borderId="1" applyAlignment="1" pivotButton="0" quotePrefix="0" xfId="0">
      <alignment vertical="center" wrapText="1"/>
    </xf>
    <xf numFmtId="0" fontId="0" fillId="0" borderId="15" pivotButton="0" quotePrefix="0" xfId="0"/>
    <xf numFmtId="0" fontId="32" fillId="4" borderId="1" applyAlignment="1" pivotButton="0" quotePrefix="0" xfId="0">
      <alignment horizontal="left" vertical="center" wrapText="1"/>
    </xf>
    <xf numFmtId="164" fontId="8" fillId="4" borderId="1" applyAlignment="1" pivotButton="0" quotePrefix="0" xfId="0">
      <alignment horizontal="center" vertical="center" wrapText="1"/>
    </xf>
    <xf numFmtId="164" fontId="9"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12" fillId="4" borderId="1" applyAlignment="1" pivotButton="0" quotePrefix="0" xfId="0">
      <alignment vertical="top" wrapText="1"/>
    </xf>
    <xf numFmtId="0" fontId="13" fillId="4" borderId="1" applyAlignment="1" pivotButton="0" quotePrefix="0" xfId="0">
      <alignment vertical="top" wrapText="1"/>
    </xf>
    <xf numFmtId="164" fontId="8" fillId="7" borderId="1" applyAlignment="1" pivotButton="0" quotePrefix="0" xfId="0">
      <alignment horizontal="center" vertical="center" wrapText="1"/>
    </xf>
    <xf numFmtId="164" fontId="16" fillId="6" borderId="1" applyAlignment="1" pivotButton="0" quotePrefix="0" xfId="0">
      <alignment horizontal="center" vertical="center" wrapText="1"/>
    </xf>
    <xf numFmtId="0" fontId="10" fillId="5" borderId="12" applyAlignment="1" pivotButton="0" quotePrefix="0" xfId="0">
      <alignment horizontal="left" vertical="center" wrapText="1"/>
    </xf>
  </cellXfs>
  <cellStyles count="1">
    <cellStyle name="표준"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A6A6A6"/>
      <rgbColor rgb="FF1F3864"/>
      <rgbColor rgb="FF339966"/>
      <rgbColor rgb="FF003300"/>
      <rgbColor rgb="FF333300"/>
      <rgbColor rgb="FF993300"/>
      <rgbColor rgb="FF993366"/>
      <rgbColor rgb="FF2E5B9A"/>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0"/>
  <sheetViews>
    <sheetView showGridLines="0" zoomScaleNormal="100" workbookViewId="0">
      <selection activeCell="K11" sqref="K11"/>
    </sheetView>
  </sheetViews>
  <sheetFormatPr baseColWidth="8" defaultColWidth="8.7109375" defaultRowHeight="15"/>
  <cols>
    <col width="8.7109375" customWidth="1" style="54" min="1" max="1"/>
    <col width="22" customWidth="1" style="54" min="2" max="2"/>
    <col width="58" customWidth="1" style="54" min="3" max="3"/>
    <col width="56.42578125" customWidth="1" style="54" min="4" max="4"/>
    <col width="30" customWidth="1" style="54" min="5" max="5"/>
    <col width="8.7109375" customWidth="1" style="54" min="6" max="6"/>
    <col width="8.7109375" customWidth="1" style="54" min="7" max="16384"/>
  </cols>
  <sheetData>
    <row r="2" ht="25.5" customHeight="1" s="49">
      <c r="C2" s="32" t="inlineStr">
        <is>
          <t>BRING 주간 업무지시·완료보고 운영규칙</t>
        </is>
      </c>
    </row>
    <row r="3">
      <c r="C3" s="67" t="inlineStr">
        <is>
          <t>월요일 지시 → 금요일 회수. 지시되지 않은 업무는 평가하지 않으며, 완료기준이 없는 업무는 지시하지 않음.</t>
        </is>
      </c>
    </row>
    <row r="5">
      <c r="B5" s="34" t="inlineStr">
        <is>
          <t>■ 주간 사이클</t>
        </is>
      </c>
    </row>
    <row r="6" ht="19.5" customHeight="1" s="49">
      <c r="B6" s="46" t="inlineStr">
        <is>
          <t>시점</t>
        </is>
      </c>
      <c r="C6" s="46" t="inlineStr">
        <is>
          <t>행위자</t>
        </is>
      </c>
      <c r="D6" s="46" t="inlineStr">
        <is>
          <t>행위</t>
        </is>
      </c>
      <c r="E6" s="46" t="inlineStr">
        <is>
          <t>미이행 시</t>
        </is>
      </c>
    </row>
    <row r="7" ht="30" customHeight="1" s="49">
      <c r="B7" s="22" t="inlineStr">
        <is>
          <t>월 09:00</t>
        </is>
      </c>
      <c r="C7" s="23" t="inlineStr">
        <is>
          <t>대표</t>
        </is>
      </c>
      <c r="D7" s="23" t="inlineStr">
        <is>
          <t>[01_업무지시서] 작성·전달</t>
        </is>
      </c>
      <c r="E7" s="22" t="inlineStr">
        <is>
          <t>지시 무효 — 해당 주 미평가</t>
        </is>
      </c>
    </row>
    <row r="8" ht="30" customHeight="1" s="49">
      <c r="B8" s="22" t="inlineStr">
        <is>
          <t>월 12:00</t>
        </is>
      </c>
      <c r="C8" s="22" t="inlineStr">
        <is>
          <t>담당자</t>
        </is>
      </c>
      <c r="D8" s="23" t="inlineStr">
        <is>
          <t>[01] 하단 접수확인 작성 (본인 언어로 재정의 + 리스크 + 필요지원)</t>
        </is>
      </c>
      <c r="E8" s="22" t="inlineStr">
        <is>
          <t>업무 미이해로 간주, 재지시</t>
        </is>
      </c>
    </row>
    <row r="9" ht="30" customHeight="1" s="49">
      <c r="B9" s="22" t="inlineStr">
        <is>
          <t>화~목</t>
        </is>
      </c>
      <c r="C9" s="22" t="inlineStr">
        <is>
          <t>담당자</t>
        </is>
      </c>
      <c r="D9" s="22" t="inlineStr">
        <is>
          <t>이슈 발생 즉시 보고 (일정 2일↑ 지연 / 비용 초과 / 안전)</t>
        </is>
      </c>
      <c r="E9" s="22" t="inlineStr">
        <is>
          <t>금요일 사유 인정 불가</t>
        </is>
      </c>
    </row>
    <row r="10" ht="30" customHeight="1" s="49">
      <c r="B10" s="22" t="inlineStr">
        <is>
          <t>금 17:00</t>
        </is>
      </c>
      <c r="C10" s="22" t="inlineStr">
        <is>
          <t>담당자</t>
        </is>
      </c>
      <c r="D10" s="23" t="inlineStr">
        <is>
          <t>[02_주간완료보고서] 제출 — 증빙 필수</t>
        </is>
      </c>
      <c r="E10" s="22" t="inlineStr">
        <is>
          <t>미제출 = 미완료 처리</t>
        </is>
      </c>
    </row>
    <row r="11" ht="30" customHeight="1" s="49">
      <c r="B11" s="22" t="inlineStr">
        <is>
          <t>금 18:00</t>
        </is>
      </c>
      <c r="C11" s="22" t="inlineStr">
        <is>
          <t>대표/부대표</t>
        </is>
      </c>
      <c r="D11" s="23" t="inlineStr">
        <is>
          <t>§4 검수기준으로 검수 → [03_관리대장] 기록 → 다음 주 지시 반영</t>
        </is>
      </c>
      <c r="E11" s="23" t="inlineStr">
        <is>
          <t>-</t>
        </is>
      </c>
    </row>
    <row r="14">
      <c r="B14" s="34" t="inlineStr">
        <is>
          <t>■ 업무지시서 구성 (6개 챕터)</t>
        </is>
      </c>
    </row>
    <row r="15" ht="19.5" customHeight="1" s="49">
      <c r="B15" s="46" t="inlineStr">
        <is>
          <t>챕터</t>
        </is>
      </c>
      <c r="C15" s="46" t="inlineStr">
        <is>
          <t>내용</t>
        </is>
      </c>
      <c r="D15" s="46" t="inlineStr">
        <is>
          <t>작성 주기</t>
        </is>
      </c>
      <c r="E15" s="46" t="inlineStr">
        <is>
          <t>미작성 시</t>
        </is>
      </c>
    </row>
    <row r="16" ht="25.5" customHeight="1" s="49">
      <c r="B16" s="23" t="inlineStr">
        <is>
          <t>1. 지시 배경 및 목적</t>
        </is>
      </c>
      <c r="C16" s="22" t="inlineStr">
        <is>
          <t>왜 이 업무가 필요한가 · 이번 주 목표 · 실패 시 손실</t>
        </is>
      </c>
      <c r="D16" s="22" t="inlineStr">
        <is>
          <t>매주 갱신</t>
        </is>
      </c>
      <c r="E16" s="22" t="inlineStr">
        <is>
          <t>우선순위 판단 불가</t>
        </is>
      </c>
    </row>
    <row r="17" ht="25.5" customHeight="1" s="49">
      <c r="B17" s="23" t="inlineStr">
        <is>
          <t>2. 업무 범위</t>
        </is>
      </c>
      <c r="C17" s="22" t="inlineStr">
        <is>
          <t>포함 / 제외 / 전제조건</t>
        </is>
      </c>
      <c r="D17" s="22" t="inlineStr">
        <is>
          <t>매주 갱신</t>
        </is>
      </c>
      <c r="E17" s="22" t="inlineStr">
        <is>
          <t>과잉 수행 또는 누락</t>
        </is>
      </c>
    </row>
    <row r="18" ht="25.5" customHeight="1" s="49">
      <c r="B18" s="23" t="inlineStr">
        <is>
          <t>3. 지시 업무</t>
        </is>
      </c>
      <c r="C18" s="22" t="inlineStr">
        <is>
          <t>업무명·완료기준·산출물·마감·가중치 (본문)</t>
        </is>
      </c>
      <c r="D18" s="22" t="inlineStr">
        <is>
          <t>매주 갱신</t>
        </is>
      </c>
      <c r="E18" s="22" t="inlineStr">
        <is>
          <t>지시 성립 안 됨</t>
        </is>
      </c>
    </row>
    <row r="19" ht="25.5" customHeight="1" s="49">
      <c r="B19" s="23" t="inlineStr">
        <is>
          <t>4. 검수 기준</t>
        </is>
      </c>
      <c r="C19" s="22" t="inlineStr">
        <is>
          <t>합격/보완/불합격 판정 기준</t>
        </is>
      </c>
      <c r="D19" s="23" t="inlineStr">
        <is>
          <t>1회 작성 후 재사용</t>
        </is>
      </c>
      <c r="E19" s="22" t="inlineStr">
        <is>
          <t>담당자 자기검열 불가</t>
        </is>
      </c>
    </row>
    <row r="20" ht="25.5" customHeight="1" s="49">
      <c r="B20" s="23" t="inlineStr">
        <is>
          <t>5. 제공 자원 및 권한</t>
        </is>
      </c>
      <c r="C20" s="22" t="inlineStr">
        <is>
          <t>예산 한도·장비·계정·자율 결정 범위</t>
        </is>
      </c>
      <c r="D20" s="23" t="inlineStr">
        <is>
          <t>1회 작성 후 재사용</t>
        </is>
      </c>
      <c r="E20" s="22" t="inlineStr">
        <is>
          <t>매번 대표에게 질문</t>
        </is>
      </c>
    </row>
    <row r="21" ht="25.5" customHeight="1" s="49">
      <c r="B21" s="23" t="inlineStr">
        <is>
          <t>6. 제약 및 주의사항</t>
        </is>
      </c>
      <c r="C21" s="22" t="inlineStr">
        <is>
          <t>안전·비용·보안·대외 — 위반 시 무조건 불합격</t>
        </is>
      </c>
      <c r="D21" s="23" t="inlineStr">
        <is>
          <t>1회 작성 후 재사용</t>
        </is>
      </c>
      <c r="E21" s="22" t="inlineStr">
        <is>
          <t>사고·비용 리스크</t>
        </is>
      </c>
    </row>
    <row r="22" ht="25.5" customHeight="1" s="49">
      <c r="B22" s="22" t="inlineStr">
        <is>
          <t>접수확인</t>
        </is>
      </c>
      <c r="C22" s="22" t="inlineStr">
        <is>
          <t>담당자가 본인 언어로 재정의 (월 12:00까지)</t>
        </is>
      </c>
      <c r="D22" s="22" t="inlineStr">
        <is>
          <t>매주</t>
        </is>
      </c>
      <c r="E22" s="22" t="inlineStr">
        <is>
          <t>재지시</t>
        </is>
      </c>
    </row>
    <row r="24">
      <c r="B24" s="34" t="inlineStr">
        <is>
          <t>■ 원칙</t>
        </is>
      </c>
    </row>
    <row r="25" ht="36" customHeight="1" s="49">
      <c r="B25" s="53" t="inlineStr">
        <is>
          <t>· 지시자: 완료기준을 숫자·파일·시험결과로 쓸 것. '개발 완료'는 완료기준이 아님.</t>
        </is>
      </c>
    </row>
    <row r="26" ht="36" customHeight="1" s="49">
      <c r="B26" s="53" t="inlineStr">
        <is>
          <t>· 지시자: §4~6은 한 번 채우면 매주 그대로 복사. 매주 새로 쓰는 것은 §1~3뿐임.</t>
        </is>
      </c>
    </row>
    <row r="27" ht="36" customHeight="1" s="49">
      <c r="B27" s="53" t="inlineStr">
        <is>
          <t>· 담당자: 증빙(파일·링크·로그·측정값) 없는 진행률은 0%로 처리됨.</t>
        </is>
      </c>
    </row>
    <row r="28" ht="48" customHeight="1" s="49">
      <c r="B28" s="53" t="inlineStr">
        <is>
          <t>· 담당자: 미완료 시 '무엇 때문에' 막혔는지 원인을 쓸 것. 사유 없는 미완료는 귀책.</t>
        </is>
      </c>
    </row>
    <row r="29" ht="48" customHeight="1" s="49">
      <c r="B29" s="53" t="inlineStr">
        <is>
          <t>· 파일명: BRING_주간_[담당자]_[주차].xlsx  (예: BRING_주간_황우중_2026-W29.xlsx)</t>
        </is>
      </c>
    </row>
    <row r="30" ht="36" customHeight="1" s="49">
      <c r="B30" s="53" t="inlineStr">
        <is>
          <t>· 색상: 노란색=입력 / 초록색=자동계산(수정금지) / 주황색=대표 전용</t>
        </is>
      </c>
    </row>
  </sheetData>
  <mergeCells count="6">
    <mergeCell ref="B26:E26"/>
    <mergeCell ref="B27:E27"/>
    <mergeCell ref="B30:E30"/>
    <mergeCell ref="B29:E29"/>
    <mergeCell ref="B25:E25"/>
    <mergeCell ref="B28:E28"/>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1:K47"/>
  <sheetViews>
    <sheetView showGridLines="0" tabSelected="1" zoomScaleNormal="100" workbookViewId="0">
      <selection activeCell="C22" sqref="C22:J22"/>
    </sheetView>
  </sheetViews>
  <sheetFormatPr baseColWidth="8" defaultColWidth="8.7109375" defaultRowHeight="15"/>
  <cols>
    <col width="24.7109375" customWidth="1" style="49" min="2" max="2"/>
    <col width="20" customWidth="1" style="49" min="3" max="3"/>
    <col width="30" customWidth="1" style="49" min="4" max="4"/>
    <col width="40" customWidth="1" style="49" min="5" max="5"/>
    <col width="26" customWidth="1" style="49" min="6" max="6"/>
    <col width="31.5703125" customWidth="1" style="49" min="7" max="7"/>
    <col width="20" customWidth="1" style="49" min="8" max="8"/>
    <col width="24.85546875" customWidth="1" style="49" min="9" max="9"/>
    <col width="12.7109375" customWidth="1" style="49" min="10" max="10"/>
    <col width="24.42578125" customWidth="1" style="49" min="11" max="11"/>
  </cols>
  <sheetData>
    <row r="1" ht="33.75" customHeight="1" s="49">
      <c r="B1" s="50" t="inlineStr">
        <is>
          <t>업 무 지 시 서</t>
        </is>
      </c>
    </row>
    <row r="2">
      <c r="B2" s="52" t="inlineStr">
        <is>
          <t>Work Instruction  |  브링엔지니어링 주식회사  |  본 지시서는 범위·완료기준·자원·제약을 확정하는 사내 공식 문서임</t>
        </is>
      </c>
    </row>
    <row r="4" ht="19.5" customHeight="1" s="49">
      <c r="B4" s="4" t="inlineStr">
        <is>
          <t>문서번호</t>
        </is>
      </c>
      <c r="C4" s="47" t="inlineStr">
        <is>
          <t>BE-2026-W30-02</t>
        </is>
      </c>
      <c r="D4" s="4" t="inlineStr">
        <is>
          <t>주차</t>
        </is>
      </c>
      <c r="E4" s="47" t="inlineStr">
        <is>
          <t>2026-W30</t>
        </is>
      </c>
      <c r="F4" s="4" t="inlineStr">
        <is>
          <t>대상기간</t>
        </is>
      </c>
      <c r="G4" s="47" t="inlineStr">
        <is>
          <t>07-20(월)~07-24(금)</t>
        </is>
      </c>
      <c r="H4" s="4" t="inlineStr">
        <is>
          <t>보고기한</t>
        </is>
      </c>
      <c r="I4" s="47" t="inlineStr">
        <is>
          <t>07-24(금) 17:00</t>
        </is>
      </c>
      <c r="J4" s="4" t="inlineStr">
        <is>
          <t>접수확인 기한</t>
        </is>
      </c>
      <c r="K4" s="47" t="inlineStr">
        <is>
          <t>07-20(월) 12:00</t>
        </is>
      </c>
    </row>
    <row r="5" ht="19.5" customFormat="1" customHeight="1" s="39">
      <c r="B5" s="35" t="inlineStr">
        <is>
          <t>수신 (담당자)</t>
        </is>
      </c>
      <c r="C5" s="110" t="inlineStr">
        <is>
          <t>김 현 진</t>
        </is>
      </c>
      <c r="D5" s="35" t="inlineStr">
        <is>
          <t>소속/직무</t>
        </is>
      </c>
      <c r="E5" s="110" t="inlineStr">
        <is>
          <t>운영/파트너 관리팀</t>
        </is>
      </c>
      <c r="F5" s="35" t="inlineStr">
        <is>
          <t>발신 (지시자)</t>
        </is>
      </c>
      <c r="G5" s="37" t="inlineStr">
        <is>
          <t>대표 서창환</t>
        </is>
      </c>
      <c r="H5" s="35" t="inlineStr">
        <is>
          <t>검수자</t>
        </is>
      </c>
      <c r="I5" s="38" t="inlineStr">
        <is>
          <t>팀장 서창환</t>
        </is>
      </c>
      <c r="J5" s="35" t="inlineStr">
        <is>
          <t>문서등급</t>
        </is>
      </c>
      <c r="K5" s="36" t="inlineStr">
        <is>
          <t>사내</t>
        </is>
      </c>
    </row>
    <row r="7" ht="19.5" customHeight="1" s="49">
      <c r="B7" s="48" t="inlineStr">
        <is>
          <t>1. 지시 배경 및 목적</t>
        </is>
      </c>
    </row>
    <row r="8" ht="86.25" customHeight="1" s="49">
      <c r="B8" s="45" t="inlineStr">
        <is>
          <t>배경
(왜 지금 이 업무인가)</t>
        </is>
      </c>
      <c r="C8" s="70" t="inlineStr">
        <is>
          <t>대표가 고객 연락과 상담을 직접 맡고, 현진 담당자는 대표가 상담한 내용을 빠르게 기록·관리할 수 있는 CRM 틀을 만들고, 누수업체 비교견적·입주청소 협력업체 조사, AI 교육(온톨로지), BRING FM 통합구조 설계를 담당합니다.
지금은 고객 접점(연락·상담)이 대표 개인에게 집중되어 있어, 상담 내용이 체계적으로 축적·관리되지 않으면 후속 영업과 협력업체 대응에서 누락·중복이 발생합니다. 이번 주에는 실제 운영을 시작할 수 있는 기반(CRM 1차 틀·협력업체 비교·통합설계)을 마련합니다.</t>
        </is>
      </c>
      <c r="D8" s="41" t="n"/>
      <c r="E8" s="41" t="n"/>
      <c r="F8" s="41" t="n"/>
      <c r="G8" s="41" t="n"/>
      <c r="H8" s="41" t="n"/>
      <c r="I8" s="41" t="n"/>
      <c r="J8" s="41" t="n"/>
      <c r="K8" s="42" t="n"/>
    </row>
    <row r="9" ht="25.5" customHeight="1" s="49">
      <c r="B9" s="45" t="inlineStr">
        <is>
          <t>이번 주 목표
(한 문장)</t>
        </is>
      </c>
      <c r="C9" s="73" t="inlineStr">
        <is>
          <t>대표가 바로 입력·사용할 수 있는 CRM 1차 틀을 만들고, 누수·입주청소 협력업체 비교견적/조사와 온톨로지 교육·FM 통합 관계도로 영업·운영 기반을 마련하는 것입니다.</t>
        </is>
      </c>
      <c r="D9" s="41" t="n"/>
      <c r="E9" s="41" t="n"/>
      <c r="F9" s="41" t="n"/>
      <c r="G9" s="41" t="n"/>
      <c r="H9" s="41" t="n"/>
      <c r="I9" s="41" t="n"/>
      <c r="J9" s="41" t="n"/>
      <c r="K9" s="42" t="n"/>
    </row>
    <row r="10" ht="72.75" customHeight="1" s="49">
      <c r="B10" s="45" t="inlineStr">
        <is>
          <t>미달 시 손실
(회사 관점)</t>
        </is>
      </c>
      <c r="C10" s="73" t="inlineStr">
        <is>
          <t>고객정보가 체계적으로 쌓이지 않으면 상담·후속영업이 누락되고 대표에게 계속 의존하게 됩니다. 또한 협력업체를 같은 조건으로 비교하지 않고 진행하면 비용·품질·A/S에서 리스크가 커지고, 통합구조가 없으면 이후 기능들이 서로 연결되지 않습니다.</t>
        </is>
      </c>
      <c r="D10" s="41" t="n"/>
      <c r="E10" s="41" t="n"/>
      <c r="F10" s="41" t="n"/>
      <c r="G10" s="41" t="n"/>
      <c r="H10" s="41" t="n"/>
      <c r="I10" s="41" t="n"/>
      <c r="J10" s="41" t="n"/>
      <c r="K10" s="42" t="n"/>
    </row>
    <row r="12" ht="19.5" customHeight="1" s="49">
      <c r="B12" s="48" t="inlineStr">
        <is>
          <t>2. 업무 범위</t>
        </is>
      </c>
    </row>
    <row r="13" ht="19.5" customHeight="1" s="49">
      <c r="B13" s="46" t="inlineStr">
        <is>
          <t>구분</t>
        </is>
      </c>
      <c r="C13" s="46" t="inlineStr">
        <is>
          <t>내용</t>
        </is>
      </c>
      <c r="D13" s="41" t="n"/>
      <c r="E13" s="41" t="n"/>
      <c r="F13" s="41" t="n"/>
      <c r="G13" s="41" t="n"/>
      <c r="H13" s="41" t="n"/>
      <c r="I13" s="41" t="n"/>
      <c r="J13" s="42" t="n"/>
      <c r="K13" s="46" t="inlineStr">
        <is>
          <t>판단 주체</t>
        </is>
      </c>
    </row>
    <row r="14" ht="40.5" customHeight="1" s="49">
      <c r="B14" s="94" t="inlineStr">
        <is>
          <t>포함 범위</t>
        </is>
      </c>
      <c r="C14" s="111" t="inlineStr">
        <is>
          <t>대표 상담내용을 기록·관리하는 CRM 1차 틀 구축 (실제 입력 시작 가능한 수준까지)</t>
        </is>
      </c>
      <c r="D14" s="41" t="n"/>
      <c r="E14" s="41" t="n"/>
      <c r="F14" s="41" t="n"/>
      <c r="G14" s="41" t="n"/>
      <c r="H14" s="41" t="n"/>
      <c r="I14" s="41" t="n"/>
      <c r="J14" s="42" t="n"/>
      <c r="K14" s="8" t="inlineStr">
        <is>
          <t>지시자</t>
        </is>
      </c>
    </row>
    <row r="15" ht="40.5" customHeight="1" s="49">
      <c r="B15" s="112" t="n"/>
      <c r="C15" s="111" t="inlineStr">
        <is>
          <t>고객 요청 누수 건에 대한 업체 비교견적 확보</t>
        </is>
      </c>
      <c r="D15" s="41" t="n"/>
      <c r="E15" s="41" t="n"/>
      <c r="F15" s="41" t="n"/>
      <c r="G15" s="41" t="n"/>
      <c r="H15" s="41" t="n"/>
      <c r="I15" s="41" t="n"/>
      <c r="J15" s="42" t="n"/>
      <c r="K15" s="8" t="n"/>
    </row>
    <row r="16" ht="40.5" customHeight="1" s="49">
      <c r="B16" s="112" t="n"/>
      <c r="C16" s="111" t="inlineStr">
        <is>
          <t>원주 지역 입주청소 협력업체 조사 및 비교 (지속 협업 후보군 구축)</t>
        </is>
      </c>
      <c r="D16" s="41" t="n"/>
      <c r="E16" s="41" t="n"/>
      <c r="F16" s="41" t="n"/>
      <c r="G16" s="41" t="n"/>
      <c r="H16" s="41" t="n"/>
      <c r="I16" s="41" t="n"/>
      <c r="J16" s="42" t="n"/>
      <c r="K16" s="8" t="n"/>
    </row>
    <row r="17" ht="40.5" customHeight="1" s="49">
      <c r="B17" s="112" t="n"/>
      <c r="C17" s="111" t="inlineStr">
        <is>
          <t>온톨로지 기반 지식그래프 교육 수강 및 요약</t>
        </is>
      </c>
      <c r="D17" s="41" t="n"/>
      <c r="E17" s="41" t="n"/>
      <c r="F17" s="41" t="n"/>
      <c r="G17" s="41" t="n"/>
      <c r="H17" s="41" t="n"/>
      <c r="I17" s="41" t="n"/>
      <c r="J17" s="42" t="n"/>
      <c r="K17" s="8" t="n"/>
    </row>
    <row r="18" ht="40.5" customHeight="1" s="49">
      <c r="B18" s="112" t="n"/>
      <c r="C18" s="111" t="inlineStr">
        <is>
          <t>BRING FM 통합구조(연결 관계도) 설계</t>
        </is>
      </c>
      <c r="D18" s="41" t="n"/>
      <c r="E18" s="41" t="n"/>
      <c r="F18" s="41" t="n"/>
      <c r="G18" s="41" t="n"/>
      <c r="H18" s="41" t="n"/>
      <c r="I18" s="41" t="n"/>
      <c r="J18" s="42" t="n"/>
      <c r="K18" s="8" t="n"/>
    </row>
    <row r="19" ht="40.5" customHeight="1" s="49">
      <c r="B19" s="112" t="n"/>
      <c r="C19" s="113" t="inlineStr">
        <is>
          <t>금요일 결과 보고 (CRM 틀·누수 비교표·입주청소 비교표·온톨로지 요약·통합 관계도)</t>
        </is>
      </c>
      <c r="D19" s="41" t="n"/>
      <c r="E19" s="41" t="n"/>
      <c r="F19" s="41" t="n"/>
      <c r="G19" s="41" t="n"/>
      <c r="H19" s="41" t="n"/>
      <c r="I19" s="41" t="n"/>
      <c r="J19" s="42" t="n"/>
      <c r="K19" s="8" t="n"/>
    </row>
    <row r="20" ht="39.75" customHeight="1" s="49">
      <c r="B20" s="112" t="n"/>
      <c r="C20" s="111" t="n"/>
      <c r="D20" s="41" t="n"/>
      <c r="E20" s="41" t="n"/>
      <c r="F20" s="41" t="n"/>
      <c r="G20" s="41" t="n"/>
      <c r="H20" s="41" t="n"/>
      <c r="I20" s="41" t="n"/>
      <c r="J20" s="42" t="n"/>
      <c r="K20" s="8" t="n"/>
    </row>
    <row r="21" ht="33.75" customHeight="1" s="49">
      <c r="B21" s="112" t="n"/>
      <c r="C21" s="113" t="n"/>
      <c r="D21" s="41" t="n"/>
      <c r="E21" s="41" t="n"/>
      <c r="F21" s="41" t="n"/>
      <c r="G21" s="41" t="n"/>
      <c r="H21" s="41" t="n"/>
      <c r="I21" s="41" t="n"/>
      <c r="J21" s="42" t="n"/>
      <c r="K21" s="8" t="n"/>
    </row>
    <row r="22" ht="108" customHeight="1" s="49">
      <c r="B22" s="106" t="inlineStr">
        <is>
          <t>제외 범위</t>
        </is>
      </c>
      <c r="C22" s="105" t="inlineStr">
        <is>
          <t>· 고객 직접 연락·상담 (대표가 담당)
· 거대한 CRM의 완성 (이번 주는 실제 입력을 시작할 수 있는 1차 버전까지만)
· FM 전체 기능의 일괄 개발 (이번 주는 연결 구조 설계까지)</t>
        </is>
      </c>
      <c r="D22" s="41" t="n"/>
      <c r="E22" s="41" t="n"/>
      <c r="F22" s="41" t="n"/>
      <c r="G22" s="41" t="n"/>
      <c r="H22" s="41" t="n"/>
      <c r="I22" s="41" t="n"/>
      <c r="J22" s="42" t="n"/>
      <c r="K22" s="8" t="inlineStr">
        <is>
          <t>지시자</t>
        </is>
      </c>
    </row>
    <row r="23" ht="108" customHeight="1" s="49">
      <c r="B23" s="45" t="inlineStr">
        <is>
          <t>전제 조건</t>
        </is>
      </c>
      <c r="C23" s="105" t="inlineStr">
        <is>
          <t>· 고객 연락·상담은 대표가 담당하고, 현진 담당자는 기록·관리·조사·설계를 담당합니다
· CRM은 향후 영업지도·기존 FM 자동화에 연결 가능한 데이터 구조로 설계합니다
· 협력업체 견적·단가는 반드시 '동일한 현장조건'을 전달하여 비교 가능하게 받습니다
· 서술·정리는 표 중심으로, 판단 근거(추천 이유·위험요소)를 함께 적어 주시면 됩니다</t>
        </is>
      </c>
      <c r="D23" s="41" t="n"/>
      <c r="E23" s="41" t="n"/>
      <c r="F23" s="41" t="n"/>
      <c r="G23" s="41" t="n"/>
      <c r="H23" s="41" t="n"/>
      <c r="I23" s="41" t="n"/>
      <c r="J23" s="42" t="n"/>
      <c r="K23" s="8" t="inlineStr">
        <is>
          <t>지시자</t>
        </is>
      </c>
    </row>
    <row r="24" ht="108" customHeight="1" s="49">
      <c r="B24" s="45" t="inlineStr">
        <is>
          <t>범위 변경</t>
        </is>
      </c>
      <c r="C24" s="102" t="inlineStr">
        <is>
          <t>조사 중 범위를 벗어나거나 판단이 필요한 사항이 생기면, 사유와 상황을 간단히 정리해 대표와 상의 후 진행해 주시기 바랍니다.</t>
        </is>
      </c>
      <c r="D24" s="41" t="n"/>
      <c r="E24" s="41" t="n"/>
      <c r="F24" s="41" t="n"/>
      <c r="G24" s="41" t="n"/>
      <c r="H24" s="41" t="n"/>
      <c r="I24" s="41" t="n"/>
      <c r="J24" s="42" t="n"/>
      <c r="K24" s="8" t="inlineStr">
        <is>
          <t>대표</t>
        </is>
      </c>
    </row>
    <row r="25" ht="15" customHeight="1" s="49"/>
    <row r="26" ht="16.5" customHeight="1" s="49">
      <c r="B26" s="90" t="inlineStr">
        <is>
          <t>3. 지시 업무  —  완료기준·산출물·가중치가 비면 지시 성립하지 않음</t>
        </is>
      </c>
      <c r="C26" s="64" t="n"/>
      <c r="D26" s="64" t="n"/>
      <c r="E26" s="64" t="n"/>
      <c r="F26" s="64" t="n"/>
      <c r="G26" s="64" t="n"/>
      <c r="H26" s="64" t="n"/>
      <c r="I26" s="64" t="n"/>
      <c r="J26" s="64" t="n"/>
      <c r="K26" s="64" t="n"/>
    </row>
    <row r="27" ht="24" customHeight="1" s="49">
      <c r="B27" s="13" t="inlineStr">
        <is>
          <t>No</t>
        </is>
      </c>
      <c r="C27" s="46" t="inlineStr">
        <is>
          <t>업무명</t>
        </is>
      </c>
      <c r="D27" s="46" t="inlineStr">
        <is>
          <t>업무 목적 및 주요 내용</t>
        </is>
      </c>
      <c r="E27" s="46" t="inlineStr">
        <is>
          <t>완료기준 (측정 가능하게 — 무엇이 되면 끝인가)</t>
        </is>
      </c>
      <c r="F27" s="46" t="inlineStr">
        <is>
          <t>제출물</t>
        </is>
      </c>
      <c r="G27" s="46" t="inlineStr">
        <is>
          <t>제출 위치</t>
        </is>
      </c>
      <c r="H27" s="46" t="inlineStr">
        <is>
          <t>마감</t>
        </is>
      </c>
      <c r="I27" s="46" t="inlineStr">
        <is>
          <t>우선
순위</t>
        </is>
      </c>
      <c r="J27" s="46" t="inlineStr">
        <is>
          <t>예상
소요(h)</t>
        </is>
      </c>
      <c r="K27" s="46" t="inlineStr">
        <is>
          <t>가중치
(%)</t>
        </is>
      </c>
    </row>
    <row r="28" ht="105" customHeight="1" s="49">
      <c r="B28" s="17" t="n">
        <v>1</v>
      </c>
      <c r="C28" s="47" t="inlineStr">
        <is>
          <t>CRM 1차 틀 만들기  (이번 주 최우선)</t>
        </is>
      </c>
      <c r="D28" s="47" t="inlineStr">
        <is>
          <t>대표가 상담한 고객정보를 바로 입력·관리할 수 있는 CRM 1차 버전을 만들어 주시면 됩니다. 이번 주에는 거대한 시스템이 아니라 실제로 고객정보를 입력하기 시작할 수 있는 수준까지만 만들면 됩니다.</t>
        </is>
      </c>
      <c r="E28" s="1" t="inlineStr">
        <is>
          <t>① 고객을 등록·수정하고 건물과 연결할 수 있게 만들어 주시면 됩니다 (필수: 고객ID·고객명·연락처·고객유형·관련건물/주소·유입경로·관심서비스·현재문제·영업단계·마지막연락일·다음연락일·다음행동·상담기록·담당자·예상 계약금액·보류/거절 이유).
② 상담기록을 누적하고, '오늘 연락할 고객'과 '기한이 지난 고객'을 볼 수 있게 해 주시면 됩니다.
③ 영업단계(신규→연락예정→상담완료→현장방문→견적·제안→계약→관리중→보류·거절)를 반영해 주시면 됩니다.
④ 향후 영업지도·기존 FM 자동화에 연결 가능한 데이터 구조로 설계하고, 대표가 바로 입력할 수 있는 1차 버전(간단한 입력 화면 또는 표)까지 제공해 주시면 됩니다.</t>
        </is>
      </c>
      <c r="F28" s="47" t="inlineStr">
        <is>
          <t>01_김현진_CRM_1차틀_W30_v1.xlsx</t>
        </is>
      </c>
      <c r="G28" s="6" t="inlineStr">
        <is>
          <t>브링 구글 드라이브</t>
        </is>
      </c>
      <c r="H28" s="107" t="inlineStr">
        <is>
          <t>07-24(금) 12:00</t>
        </is>
      </c>
      <c r="I28" s="47" t="inlineStr">
        <is>
          <t>최우선</t>
        </is>
      </c>
      <c r="J28" s="114" t="n">
        <v>12</v>
      </c>
      <c r="K28" s="19" t="n">
        <v>0.3</v>
      </c>
    </row>
    <row r="29" ht="123" customHeight="1" s="49">
      <c r="B29" s="17" t="n">
        <v>2</v>
      </c>
      <c r="C29" s="47" t="inlineStr">
        <is>
          <t>누수업체 비교견적 받기</t>
        </is>
      </c>
      <c r="D29" s="47" t="inlineStr">
        <is>
          <t>고객이 요청한 누수 건에 대해 실제 업체 비교견적을 확보해 주시면 됩니다. 같은 현장조건을 전달해야 비교가 가능하니, '누수탐지 얼마예요?'로만 묻지 말고 동일한 현장정보를 전달해 주시면 됩니다.</t>
        </is>
      </c>
      <c r="E29" s="1" t="inlineStr">
        <is>
          <t>① 고객이 준 누수 상황·현장조건을 정리해 동일 조건으로 업체 3곳 이상에 문의해 주시면 됩니다.
② 탐지비·출장비·예상 공사비를 구분하고, 탐지 실패 시 비용·공사범위·추가비용·방문 가능일·보험서류·하자보증/AS를 확인해 주시면 됩니다.
③ 업체별 견적·조건을 비교표로 정리하고 유효 비교견적 2건 이상을 확보해 주시면 됩니다.
④ 추천업체 1곳·예비업체 1곳과 추천 이유·주의사항을 정리해 주시면 됩니다.</t>
        </is>
      </c>
      <c r="F29" s="47" t="inlineStr">
        <is>
          <t>02_김현진_누수업체_비교견적_W30_v1.xlsx</t>
        </is>
      </c>
      <c r="G29" s="6" t="inlineStr">
        <is>
          <t>브링 구글 드라이브</t>
        </is>
      </c>
      <c r="H29" s="107" t="inlineStr">
        <is>
          <t>07-23(목) 18:00</t>
        </is>
      </c>
      <c r="I29" s="47" t="inlineStr">
        <is>
          <t>높음</t>
        </is>
      </c>
      <c r="J29" s="114" t="n">
        <v>6</v>
      </c>
      <c r="K29" s="19" t="n">
        <v>0.18</v>
      </c>
    </row>
    <row r="30" ht="84" customHeight="1" s="49">
      <c r="B30" s="17" t="n">
        <v>3</v>
      </c>
      <c r="C30" s="47" t="inlineStr">
        <is>
          <t>입주청소 협력업체 조사</t>
        </is>
      </c>
      <c r="D30" s="47" t="inlineStr">
        <is>
          <t>단순히 저렴한 업체가 아니라 BRING과 지속적으로 협업할 수 있는 후보군을 만들어 주시면 됩니다.</t>
        </is>
      </c>
      <c r="E30" s="1" t="inlineStr">
        <is>
          <t>① 원주 지역 입주청소 업체 7곳 이상 조사, 5곳 이상 직접 연락, 3곳 이상 실제 단가를 확인해 주시면 됩니다.
② 원룸·투룸·평당 단가, 공실/입주 차이, 추가비용(창문·베란다·냉장고·에어컨), 세금계산서, 긴급·반복 대응, 재작업/AS를 확인해 주시면 됩니다.
③ 업체별 레퍼런스(작업 전후 사진·후기·블로그 링크)를 표에 함께 정리해 주시면 됩니다.
④ 평가기준(가격25% / 품질·레퍼런스30% / 대응20% / 재작업·AS15% / 세금계산서·신뢰도10%)으로 우선협력 후보 2곳·예비 2곳과 선정 이유·위험요소를 정리해 주시면 됩니다.</t>
        </is>
      </c>
      <c r="F30" s="47" t="inlineStr">
        <is>
          <t>03_김현진_입주청소_협력업체비교_W30_v1.xlsx</t>
        </is>
      </c>
      <c r="G30" s="6" t="inlineStr">
        <is>
          <t>브링 구글 드라이브</t>
        </is>
      </c>
      <c r="H30" s="107" t="inlineStr">
        <is>
          <t>07-24(금) 15:00</t>
        </is>
      </c>
      <c r="I30" s="47" t="inlineStr">
        <is>
          <t>높음</t>
        </is>
      </c>
      <c r="J30" s="114" t="n">
        <v>8</v>
      </c>
      <c r="K30" s="19" t="n">
        <v>0.22</v>
      </c>
    </row>
    <row r="31" ht="90" customHeight="1" s="49">
      <c r="B31" s="17" t="n">
        <v>4</v>
      </c>
      <c r="C31" s="47" t="inlineStr">
        <is>
          <t>AI 강의 듣기 (온톨로지 기반 지식그래프)</t>
        </is>
      </c>
      <c r="D31" s="47" t="inlineStr">
        <is>
          <t>이번 주에는 온톨로지 기반 지식그래프 강의를 우선 수강하고, 배운 내용을 BRING에 적용할 수 있게 정리해 주시면 됩니다.</t>
        </is>
      </c>
      <c r="E31" s="1" t="inlineStr">
        <is>
          <t>① 온톨로지 기반 지식그래프 핵심 강의를 수강해 주시면 됩니다.
② 핵심내용을 1페이지로 요약해 주시면 됩니다.
③ BRING에 적용할 데이터 관계도 초안을 그려 주시면 됩니다.
④ CRM·영업지도·민원 자동화의 공통 고객ID·건물ID 구조를 제안해 주시면 됩니다.</t>
        </is>
      </c>
      <c r="F31" s="47" t="inlineStr">
        <is>
          <t>04_김현진_온톨로지_요약_관계도_W30_v1.pdf</t>
        </is>
      </c>
      <c r="G31" s="108" t="inlineStr">
        <is>
          <t>브링 구글 드라이브</t>
        </is>
      </c>
      <c r="H31" s="107" t="inlineStr">
        <is>
          <t>07-24(금) 17:00</t>
        </is>
      </c>
      <c r="I31" s="47" t="inlineStr">
        <is>
          <t>보통</t>
        </is>
      </c>
      <c r="J31" s="114" t="n">
        <v>5</v>
      </c>
      <c r="K31" s="19" t="n">
        <v>0.12</v>
      </c>
    </row>
    <row r="32" ht="69" customHeight="1" s="49">
      <c r="B32" s="17" t="n">
        <v>5</v>
      </c>
      <c r="C32" s="47" t="inlineStr">
        <is>
          <t>BRING FM 통합구조 정리</t>
        </is>
      </c>
      <c r="D32" s="47" t="inlineStr">
        <is>
          <t>전체 기능을 한꺼번에 개발하지 말고, 기능들이 어떻게 연결되는지 구조를 설계해 주시면 됩니다.</t>
        </is>
      </c>
      <c r="E32" s="1" t="inlineStr">
        <is>
          <t>① CRM 고객 등록 → 건물 영업지도 표시 → 현장방문·사진 연결 → 계약 시 관리건물 전환 → 기존 민원·견적 자동화 활성화 → 업체·견적·입금·사후관리 CRM 연결의 전체 연결 구조를 설계해 주시면 됩니다.
② CRM 필수 데이터 항목과 영업지도에 표시할 건물 상태를 정의해 주시면 됩니다.
③ 고객·건물·사진·민원·견적 관계도 1장을 그려 주시면 됩니다.
④ 기존 FM 자동화와 연결할 지점, 다음 주 우선 구현할 최소 기능 1개를 제안해 주시면 됩니다.</t>
        </is>
      </c>
      <c r="F32" s="47" t="inlineStr">
        <is>
          <t>05_김현진_BRINGFM_통합관계도_W30_v1.pdf</t>
        </is>
      </c>
      <c r="G32" s="108" t="inlineStr">
        <is>
          <t>브링 구글 드라이브</t>
        </is>
      </c>
      <c r="H32" s="107" t="inlineStr">
        <is>
          <t>07-24(금) 17:00</t>
        </is>
      </c>
      <c r="I32" s="47" t="inlineStr">
        <is>
          <t>높음</t>
        </is>
      </c>
      <c r="J32" s="114" t="n">
        <v>6</v>
      </c>
      <c r="K32" s="19" t="n">
        <v>0.18</v>
      </c>
    </row>
    <row r="33" ht="69" customHeight="1" s="49">
      <c r="B33" s="45" t="inlineStr">
        <is>
          <t>합계</t>
        </is>
      </c>
      <c r="C33" s="51" t="n"/>
      <c r="D33" s="41" t="n"/>
      <c r="E33" s="41" t="n"/>
      <c r="F33" s="41" t="n"/>
      <c r="G33" s="41" t="n"/>
      <c r="H33" s="41" t="n"/>
      <c r="I33" s="42" t="n"/>
      <c r="J33" s="115">
        <f>SUM(J28:J32)</f>
        <v/>
      </c>
      <c r="K33" s="21">
        <f>SUM(K28:K32)</f>
        <v/>
      </c>
    </row>
    <row r="34" ht="24" customHeight="1" s="49">
      <c r="B34" s="45" t="inlineStr">
        <is>
          <t>발행 검증</t>
        </is>
      </c>
      <c r="C34" s="116">
        <f>IF(COUNTA(C28:C32)=0,"업무 미입력",IF(COUNTA(E28:E32)&lt;COUNTA(C28:C32),"발행 불가 — 완료기준 누락 업무 있음",IF(COUNTA(F28:F32)&lt;COUNTA(C28:C32),"발행 불가 — 산출물 누락 업무 있음",IF(SUM(K28:K32)&lt;&gt;1,"발행 불가 — 가중치 합계 "&amp;TEXT(SUM(K28:K32),"0%")&amp;" (100% 필요)","발행 가능 — 완료기준·산출물·가중치 충족"))))</f>
        <v/>
      </c>
      <c r="D34" s="41" t="n"/>
      <c r="E34" s="41" t="n"/>
      <c r="F34" s="41" t="n"/>
      <c r="G34" s="41" t="n"/>
      <c r="H34" s="41" t="n"/>
      <c r="I34" s="41" t="n"/>
      <c r="J34" s="41" t="n"/>
      <c r="K34" s="42" t="n"/>
    </row>
    <row r="35" ht="24" customHeight="1" s="49"/>
    <row r="36" ht="24" customHeight="1" s="49"/>
    <row r="37" ht="18" customHeight="1" s="49">
      <c r="B37" s="89" t="inlineStr">
        <is>
          <t>담당자 접수확인  —  월요일 12:00까지 담당자 직접 작성 (미작성 = 업무 미이해로 간주, 재지시)</t>
        </is>
      </c>
      <c r="C37" s="64" t="n"/>
      <c r="D37" s="64" t="n"/>
      <c r="E37" s="64" t="n"/>
      <c r="F37" s="64" t="n"/>
      <c r="G37" s="64" t="n"/>
      <c r="H37" s="64" t="n"/>
      <c r="I37" s="64" t="n"/>
      <c r="J37" s="64" t="n"/>
      <c r="K37" s="64" t="n"/>
    </row>
    <row r="38" ht="36" customHeight="1" s="49">
      <c r="B38" s="45" t="inlineStr">
        <is>
          <t>내가 이해한 업무
(본인 언어로 재작성)</t>
        </is>
      </c>
      <c r="C38" s="117" t="n"/>
      <c r="D38" s="41" t="n"/>
      <c r="E38" s="41" t="n"/>
      <c r="F38" s="41" t="n"/>
      <c r="G38" s="41" t="n"/>
      <c r="H38" s="41" t="n"/>
      <c r="I38" s="41" t="n"/>
      <c r="J38" s="41" t="n"/>
      <c r="K38" s="42" t="n"/>
    </row>
    <row r="39" ht="19.5" customHeight="1" s="49">
      <c r="B39" s="45" t="inlineStr">
        <is>
          <t>완료기준 재확인
(무엇이 되면 끝인가)</t>
        </is>
      </c>
      <c r="C39" s="118" t="n"/>
      <c r="D39" s="41" t="n"/>
      <c r="E39" s="41" t="n"/>
      <c r="F39" s="41" t="n"/>
      <c r="G39" s="41" t="n"/>
      <c r="H39" s="41" t="n"/>
      <c r="I39" s="41" t="n"/>
      <c r="J39" s="41" t="n"/>
      <c r="K39" s="42" t="n"/>
    </row>
    <row r="40" ht="24" customHeight="1" s="49">
      <c r="B40" s="45" t="inlineStr">
        <is>
          <t>예상 리스크
(막힐 것 같은 지점)</t>
        </is>
      </c>
      <c r="C40" s="43" t="n"/>
      <c r="D40" s="41" t="n"/>
      <c r="E40" s="41" t="n"/>
      <c r="F40" s="41" t="n"/>
      <c r="G40" s="41" t="n"/>
      <c r="H40" s="41" t="n"/>
      <c r="I40" s="41" t="n"/>
      <c r="J40" s="41" t="n"/>
      <c r="K40" s="42" t="n"/>
    </row>
    <row r="41" ht="24" customHeight="1" s="49">
      <c r="B41" s="45" t="inlineStr">
        <is>
          <t>필요한 지원·의사결정</t>
        </is>
      </c>
      <c r="C41" s="43" t="n"/>
      <c r="D41" s="41" t="n"/>
      <c r="E41" s="41" t="n"/>
      <c r="F41" s="41" t="n"/>
      <c r="G41" s="41" t="n"/>
      <c r="H41" s="41" t="n"/>
      <c r="I41" s="41" t="n"/>
      <c r="J41" s="41" t="n"/>
      <c r="K41" s="42" t="n"/>
    </row>
    <row r="42" ht="24" customHeight="1" s="49">
      <c r="B42" s="45" t="inlineStr">
        <is>
          <t>실행 계획 (요일 배분)</t>
        </is>
      </c>
      <c r="C42" s="43" t="n"/>
      <c r="D42" s="41" t="n"/>
      <c r="E42" s="41" t="n"/>
      <c r="F42" s="41" t="n"/>
      <c r="G42" s="41" t="n"/>
      <c r="H42" s="41" t="n"/>
      <c r="I42" s="41" t="n"/>
      <c r="J42" s="41" t="n"/>
      <c r="K42" s="42" t="n"/>
    </row>
    <row r="43" ht="24" customHeight="1" s="49">
      <c r="B43" s="45" t="inlineStr">
        <is>
          <t>접수 확인 일시 / 서명</t>
        </is>
      </c>
      <c r="C43" s="47" t="n"/>
      <c r="D43" s="41" t="n"/>
      <c r="E43" s="41" t="n"/>
      <c r="F43" s="41" t="n"/>
      <c r="G43" s="41" t="n"/>
      <c r="H43" s="41" t="n"/>
      <c r="I43" s="41" t="n"/>
      <c r="J43" s="41" t="n"/>
      <c r="K43" s="42" t="n"/>
    </row>
    <row r="44" ht="24" customHeight="1" s="49"/>
    <row r="45" ht="24" customHeight="1" s="49">
      <c r="B45" s="4" t="inlineStr">
        <is>
          <t>결   재</t>
        </is>
      </c>
      <c r="C45" s="41" t="n"/>
      <c r="D45" s="41" t="n"/>
      <c r="E45" s="41" t="n"/>
      <c r="F45" s="41" t="n"/>
      <c r="G45" s="41" t="n"/>
      <c r="H45" s="41" t="n"/>
      <c r="I45" s="41" t="n"/>
      <c r="J45" s="41" t="n"/>
      <c r="K45" s="42" t="n"/>
    </row>
    <row r="46" ht="24" customHeight="1" s="49">
      <c r="B46" s="45" t="inlineStr">
        <is>
          <t>구분</t>
        </is>
      </c>
      <c r="C46" s="45" t="inlineStr">
        <is>
          <t>작성 (지시자)</t>
        </is>
      </c>
      <c r="D46" s="42" t="n"/>
      <c r="E46" s="45" t="inlineStr">
        <is>
          <t>검토 (검수자)</t>
        </is>
      </c>
      <c r="F46" s="42" t="n"/>
      <c r="G46" s="45" t="inlineStr">
        <is>
          <t>승인 (대표)</t>
        </is>
      </c>
      <c r="H46" s="42" t="n"/>
      <c r="I46" s="45" t="inlineStr">
        <is>
          <t>접수 (담당자)</t>
        </is>
      </c>
      <c r="J46" s="42" t="n"/>
      <c r="K46" s="45" t="inlineStr">
        <is>
          <t>일자</t>
        </is>
      </c>
    </row>
    <row r="47">
      <c r="B47" s="45" t="inlineStr">
        <is>
          <t>서명</t>
        </is>
      </c>
      <c r="C47" s="47" t="inlineStr">
        <is>
          <t>서 창 환</t>
        </is>
      </c>
      <c r="D47" s="42" t="n"/>
      <c r="E47" s="47" t="inlineStr">
        <is>
          <t>서 창 환</t>
        </is>
      </c>
      <c r="F47" s="42" t="n"/>
      <c r="G47" s="47" t="inlineStr">
        <is>
          <t>서 창 환</t>
        </is>
      </c>
      <c r="H47" s="42" t="n"/>
      <c r="I47" s="47" t="inlineStr">
        <is>
          <t>김 현 진</t>
        </is>
      </c>
      <c r="J47" s="42" t="n"/>
      <c r="K47" s="109" t="inlineStr">
        <is>
          <t>2026-07-20</t>
        </is>
      </c>
    </row>
    <row r="48" ht="19.5" customHeight="1" s="49"/>
    <row r="49" ht="21.75" customHeight="1" s="49"/>
    <row r="50" ht="21.75" customHeight="1" s="49"/>
    <row r="51" ht="21.75" customHeight="1" s="49"/>
    <row r="52" ht="21.75" customHeight="1" s="49"/>
    <row r="53" ht="21.75" customHeight="1" s="49"/>
    <row r="54" ht="21.75" customHeight="1" s="49"/>
    <row r="55" ht="21.75" customHeight="1" s="49"/>
    <row r="56" ht="21.75" customHeight="1" s="49"/>
    <row r="58" ht="21.75" customHeight="1" s="49"/>
    <row r="59" ht="48" customHeight="1" s="49"/>
    <row r="60" ht="39.75" customHeight="1" s="49"/>
    <row r="61" ht="33.75" customHeight="1" s="49"/>
    <row r="62" ht="33.75" customHeight="1" s="49"/>
    <row r="63" ht="30" customHeight="1" s="49"/>
    <row r="64" ht="21.75" customHeight="1" s="49"/>
    <row r="66" ht="15" customHeight="1" s="49"/>
    <row r="67" ht="59.25" customHeight="1" s="49"/>
    <row r="68" ht="39.75" customHeight="1" s="49"/>
  </sheetData>
  <mergeCells count="39">
    <mergeCell ref="C10:K10"/>
    <mergeCell ref="C41:K41"/>
    <mergeCell ref="C15:J15"/>
    <mergeCell ref="I46:J46"/>
    <mergeCell ref="C24:J24"/>
    <mergeCell ref="C40:K40"/>
    <mergeCell ref="C9:K9"/>
    <mergeCell ref="C14:J14"/>
    <mergeCell ref="C43:K43"/>
    <mergeCell ref="B45:K45"/>
    <mergeCell ref="C47:D47"/>
    <mergeCell ref="I47:J47"/>
    <mergeCell ref="C20:J20"/>
    <mergeCell ref="B26:K26"/>
    <mergeCell ref="C16:J16"/>
    <mergeCell ref="B7:K7"/>
    <mergeCell ref="C39:K39"/>
    <mergeCell ref="C8:K8"/>
    <mergeCell ref="C22:J22"/>
    <mergeCell ref="C33:I33"/>
    <mergeCell ref="B14:B21"/>
    <mergeCell ref="C38:K38"/>
    <mergeCell ref="C46:D46"/>
    <mergeCell ref="C21:J21"/>
    <mergeCell ref="E46:F46"/>
    <mergeCell ref="B12:K12"/>
    <mergeCell ref="B2:K2"/>
    <mergeCell ref="C34:K34"/>
    <mergeCell ref="C23:J23"/>
    <mergeCell ref="C17:J17"/>
    <mergeCell ref="B1:K1"/>
    <mergeCell ref="G47:H47"/>
    <mergeCell ref="C42:K42"/>
    <mergeCell ref="G46:H46"/>
    <mergeCell ref="C19:J19"/>
    <mergeCell ref="C13:J13"/>
    <mergeCell ref="C18:J18"/>
    <mergeCell ref="E47:F47"/>
    <mergeCell ref="B37:K37"/>
  </mergeCells>
  <dataValidations count="1">
    <dataValidation sqref="I28:I32" showDropDown="0" showInputMessage="0" showErrorMessage="0" allowBlank="1" type="list">
      <formula1>"최우선,높음,보통,낮음"</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C1:L47"/>
  <sheetViews>
    <sheetView showGridLines="0" topLeftCell="A27" zoomScaleNormal="100" workbookViewId="0">
      <selection activeCell="D45" sqref="D45:F45"/>
    </sheetView>
  </sheetViews>
  <sheetFormatPr baseColWidth="8" defaultColWidth="8.7109375" defaultRowHeight="15"/>
  <cols>
    <col width="19.85546875" customWidth="1" style="49" min="3" max="3"/>
    <col width="22" customWidth="1" style="49" min="4" max="4"/>
    <col width="47.85546875" customWidth="1" style="49" min="5" max="5"/>
    <col width="15.5703125" customWidth="1" style="49" min="6" max="6"/>
    <col width="9" customWidth="1" style="49" min="7" max="7"/>
    <col width="12.28515625" customWidth="1" style="49" min="8" max="8"/>
    <col width="9" customWidth="1" style="49" min="9" max="9"/>
    <col width="28" customWidth="1" style="49" min="10" max="10"/>
    <col width="30" customWidth="1" style="49" min="11" max="11"/>
    <col width="26" customWidth="1" style="49" min="12" max="12"/>
  </cols>
  <sheetData>
    <row r="1" ht="33.75" customHeight="1" s="49">
      <c r="C1" s="50" t="inlineStr">
        <is>
          <t>주 간  완 료  보 고 서</t>
        </is>
      </c>
    </row>
    <row r="2">
      <c r="C2" s="67" t="inlineStr">
        <is>
          <t>작성: 담당자  |  제출: 매주 금요일 17:00  |  초록색 셀은 업무지시서에서 자동 연동됨 (수정 금지)</t>
        </is>
      </c>
    </row>
    <row r="4" ht="19.5" customHeight="1" s="49">
      <c r="C4" s="4" t="inlineStr">
        <is>
          <t>문서번호</t>
        </is>
      </c>
      <c r="D4" s="12">
        <f>'01_업무지시서'!C4</f>
        <v/>
      </c>
      <c r="E4" s="4" t="inlineStr">
        <is>
          <t>주차</t>
        </is>
      </c>
      <c r="F4" s="12">
        <f>'01_업무지시서'!E4</f>
        <v/>
      </c>
      <c r="G4" s="4" t="inlineStr">
        <is>
          <t>담당자</t>
        </is>
      </c>
      <c r="H4" s="12">
        <f>'01_업무지시서'!C5</f>
        <v/>
      </c>
      <c r="I4" s="4" t="inlineStr">
        <is>
          <t>대상기간</t>
        </is>
      </c>
      <c r="J4" s="12">
        <f>'01_업무지시서'!G4</f>
        <v/>
      </c>
      <c r="K4" s="4" t="inlineStr">
        <is>
          <t>작성일</t>
        </is>
      </c>
      <c r="L4" s="6" t="n"/>
    </row>
    <row r="5" ht="30" customHeight="1" s="49">
      <c r="C5" s="4" t="inlineStr">
        <is>
          <t>주간 달성률
(가중)</t>
        </is>
      </c>
      <c r="D5" s="26">
        <f>SUMPRODUCT(F12:F16,H12:H16)</f>
        <v/>
      </c>
      <c r="E5" s="4" t="inlineStr">
        <is>
          <t>판정</t>
        </is>
      </c>
      <c r="F5" s="27">
        <f>IF(D5&gt;=1,"완수",IF(D5&gt;=0.9,"정상",IF(D5&gt;=0.7,"주의","경고")))</f>
        <v/>
      </c>
      <c r="G5" s="4" t="inlineStr">
        <is>
          <t>계획 h</t>
        </is>
      </c>
      <c r="H5" s="119">
        <f>SUM('01_업무지시서'!J28:J32)</f>
        <v/>
      </c>
      <c r="I5" s="4" t="inlineStr">
        <is>
          <t>실제 h</t>
        </is>
      </c>
      <c r="J5" s="119">
        <f>SUM(I12:I16)</f>
        <v/>
      </c>
      <c r="K5" s="4" t="inlineStr">
        <is>
          <t>시간 정확도</t>
        </is>
      </c>
      <c r="L5" s="11">
        <f>IFERROR(J5/H5,0)</f>
        <v/>
      </c>
    </row>
    <row r="6" ht="25.5" customHeight="1" s="49">
      <c r="C6" s="45" t="inlineStr">
        <is>
          <t>이번 주 목표
(지시서 연동)</t>
        </is>
      </c>
      <c r="D6" s="68">
        <f>'01_업무지시서'!C9</f>
        <v/>
      </c>
      <c r="E6" s="41" t="n"/>
      <c r="F6" s="41" t="n"/>
      <c r="G6" s="41" t="n"/>
      <c r="H6" s="41" t="n"/>
      <c r="I6" s="41" t="n"/>
      <c r="J6" s="41" t="n"/>
      <c r="K6" s="41" t="n"/>
      <c r="L6" s="42" t="n"/>
    </row>
    <row r="7" ht="25.5" customHeight="1" s="49">
      <c r="C7" s="45" t="inlineStr">
        <is>
          <t>목표 달성 여부
(자기 판정)</t>
        </is>
      </c>
      <c r="D7" s="57" t="inlineStr">
        <is>
          <t>달성 / 부분달성 / 미달 — 그리고 그 이유 한 문장. 변명 없이 사실만.</t>
        </is>
      </c>
      <c r="E7" s="41" t="n"/>
      <c r="F7" s="41" t="n"/>
      <c r="G7" s="41" t="n"/>
      <c r="H7" s="41" t="n"/>
      <c r="I7" s="41" t="n"/>
      <c r="J7" s="41" t="n"/>
      <c r="K7" s="41" t="n"/>
      <c r="L7" s="42" t="n"/>
    </row>
    <row r="9" ht="19.5" customHeight="1" s="49">
      <c r="C9" s="48" t="inlineStr">
        <is>
          <t>1. 지시 업무별 결과  —  증빙 없는 진행률은 0%로 처리됨</t>
        </is>
      </c>
    </row>
    <row r="10" ht="31.5" customHeight="1" s="49">
      <c r="C10" s="13" t="inlineStr">
        <is>
          <t>No</t>
        </is>
      </c>
      <c r="D10" s="46" t="inlineStr">
        <is>
          <t>업무명 (자동)</t>
        </is>
      </c>
      <c r="E10" s="46" t="inlineStr">
        <is>
          <t>완료기준 (자동)</t>
        </is>
      </c>
      <c r="F10" s="46" t="inlineStr">
        <is>
          <t>가중치
(자동)</t>
        </is>
      </c>
      <c r="G10" s="46" t="inlineStr">
        <is>
          <t>상태</t>
        </is>
      </c>
      <c r="H10" s="46" t="inlineStr">
        <is>
          <t>진행률
(%)</t>
        </is>
      </c>
      <c r="I10" s="46" t="inlineStr">
        <is>
          <t>실제
소요(h)</t>
        </is>
      </c>
      <c r="J10" s="46" t="inlineStr">
        <is>
          <t>증빙 (파일명·링크·측정값)</t>
        </is>
      </c>
      <c r="K10" s="46" t="inlineStr">
        <is>
          <t>미완료 원인</t>
        </is>
      </c>
      <c r="L10" s="46" t="inlineStr">
        <is>
          <t>다음 조치</t>
        </is>
      </c>
    </row>
    <row r="11" ht="75.75" customHeight="1" s="49">
      <c r="C11" s="8" t="inlineStr">
        <is>
          <t>예시</t>
        </is>
      </c>
      <c r="D11" s="14" t="inlineStr">
        <is>
          <t>[예시]
창문 모듈 브레드보드 제작</t>
        </is>
      </c>
      <c r="E11" s="8" t="inlineStr">
        <is>
          <t>① 센서 4종 1분 주기 수집
② 24h 무중단 성공률 98%↑
③ 센서ID·보정값 기록</t>
        </is>
      </c>
      <c r="F11" s="16" t="n">
        <v>0.4</v>
      </c>
      <c r="G11" s="8" t="inlineStr">
        <is>
          <t>진행중</t>
        </is>
      </c>
      <c r="H11" s="16" t="n">
        <v>0.7</v>
      </c>
      <c r="I11" s="120" t="n">
        <v>14</v>
      </c>
      <c r="J11" s="14" t="inlineStr">
        <is>
          <t>drive/HW/W29/log_0716.csv
(성공률 94.2%, 스크린샷 첨부)</t>
        </is>
      </c>
      <c r="K11" s="8" t="inlineStr">
        <is>
          <t>누수센서 오탐 3회 — 접지 불량 추정.
재배선 전까지 98% 도달 불가.</t>
        </is>
      </c>
      <c r="L11" s="8" t="inlineStr">
        <is>
          <t>월요일 재배선 후 24h 재시험 (4h 소요 예상)</t>
        </is>
      </c>
    </row>
    <row r="12" ht="108" customHeight="1" s="49">
      <c r="C12" s="17" t="n">
        <v>1</v>
      </c>
      <c r="D12" s="40">
        <f>IF('01_업무지시서'!C28="","",'01_업무지시서'!C28)</f>
        <v/>
      </c>
      <c r="E12" s="40">
        <f>IF('01_업무지시서'!E28="","",'01_업무지시서'!E28)</f>
        <v/>
      </c>
      <c r="F12" s="11">
        <f>IF('01_업무지시서'!K28="",0,'01_업무지시서'!K28)</f>
        <v/>
      </c>
      <c r="G12" s="47" t="n"/>
      <c r="H12" s="19" t="n"/>
      <c r="I12" s="114" t="n"/>
      <c r="J12" s="47" t="n"/>
      <c r="K12" s="47" t="n"/>
      <c r="L12" s="47" t="n"/>
    </row>
    <row r="13" ht="108" customHeight="1" s="49">
      <c r="C13" s="17" t="n">
        <v>2</v>
      </c>
      <c r="D13" s="40">
        <f>IF('01_업무지시서'!C29="","",'01_업무지시서'!C29)</f>
        <v/>
      </c>
      <c r="E13" s="40">
        <f>IF('01_업무지시서'!E29="","",'01_업무지시서'!E29)</f>
        <v/>
      </c>
      <c r="F13" s="11">
        <f>IF('01_업무지시서'!K29="",0,'01_업무지시서'!K29)</f>
        <v/>
      </c>
      <c r="G13" s="47" t="n"/>
      <c r="H13" s="19" t="n"/>
      <c r="I13" s="114" t="n"/>
      <c r="J13" s="47" t="n"/>
      <c r="K13" s="47" t="n"/>
      <c r="L13" s="47" t="n"/>
    </row>
    <row r="14" ht="108" customHeight="1" s="49">
      <c r="C14" s="17" t="n">
        <v>3</v>
      </c>
      <c r="D14" s="40">
        <f>IF('01_업무지시서'!C30="","",'01_업무지시서'!C30)</f>
        <v/>
      </c>
      <c r="E14" s="40">
        <f>IF('01_업무지시서'!E30="","",'01_업무지시서'!E30)</f>
        <v/>
      </c>
      <c r="F14" s="11">
        <f>IF('01_업무지시서'!K30="",0,'01_업무지시서'!K30)</f>
        <v/>
      </c>
      <c r="G14" s="47" t="n"/>
      <c r="H14" s="19" t="n"/>
      <c r="I14" s="114" t="n"/>
      <c r="J14" s="47" t="n"/>
      <c r="K14" s="47" t="n"/>
      <c r="L14" s="47" t="n"/>
    </row>
    <row r="15" ht="108" customHeight="1" s="49">
      <c r="C15" s="17" t="n">
        <v>4</v>
      </c>
      <c r="D15" s="40">
        <f>IF('01_업무지시서'!C31="","",'01_업무지시서'!C31)</f>
        <v/>
      </c>
      <c r="E15" s="40">
        <f>IF('01_업무지시서'!E31="","",'01_업무지시서'!E31)</f>
        <v/>
      </c>
      <c r="F15" s="11">
        <f>IF('01_업무지시서'!K31="",0,'01_업무지시서'!K31)</f>
        <v/>
      </c>
      <c r="G15" s="47" t="n"/>
      <c r="H15" s="19" t="n"/>
      <c r="I15" s="114" t="n"/>
      <c r="J15" s="47" t="n"/>
      <c r="K15" s="47" t="n"/>
      <c r="L15" s="47" t="n"/>
    </row>
    <row r="16" ht="108" customHeight="1" s="49">
      <c r="C16" s="17" t="n">
        <v>5</v>
      </c>
      <c r="D16" s="40">
        <f>IF('01_업무지시서'!C32="","",'01_업무지시서'!C32)</f>
        <v/>
      </c>
      <c r="E16" s="40">
        <f>IF('01_업무지시서'!E32="","",'01_업무지시서'!E32)</f>
        <v/>
      </c>
      <c r="F16" s="11">
        <f>IF('01_업무지시서'!K32="",0,'01_업무지시서'!K32)</f>
        <v/>
      </c>
      <c r="G16" s="47" t="n"/>
      <c r="H16" s="19" t="n"/>
      <c r="I16" s="114" t="n"/>
      <c r="J16" s="47" t="n"/>
      <c r="K16" s="47" t="n"/>
      <c r="L16" s="47" t="n"/>
    </row>
    <row r="17" ht="15" customHeight="1" s="49">
      <c r="C17" s="45" t="inlineStr">
        <is>
          <t>합계</t>
        </is>
      </c>
      <c r="D17" s="45" t="inlineStr">
        <is>
          <t>가중 달성률 →</t>
        </is>
      </c>
      <c r="E17" s="42" t="n"/>
      <c r="F17" s="21">
        <f>SUM(F12:F16)</f>
        <v/>
      </c>
      <c r="G17" s="28">
        <f>SUMPRODUCT(F12:F16,H12:H16)</f>
        <v/>
      </c>
      <c r="H17" s="29">
        <f>COUNTIF(G12:G16,"완료")</f>
        <v/>
      </c>
      <c r="I17" s="115">
        <f>SUM(I12:I16)</f>
        <v/>
      </c>
      <c r="J17" s="69">
        <f>"완료 "&amp;COUNTIF(G12:G16,"완료")&amp;"건 / 진행중 "&amp;COUNTIF(G12:G16,"진행중")&amp;"건 / 미착수 "&amp;COUNTIF(G12:G16,"미착수")&amp;"건"</f>
        <v/>
      </c>
      <c r="K17" s="41" t="n"/>
      <c r="L17" s="42" t="n"/>
    </row>
    <row r="18" ht="24" customHeight="1" s="49">
      <c r="C18" s="46" t="n"/>
      <c r="D18" s="46" t="n"/>
      <c r="I18" s="46" t="n"/>
      <c r="J18" s="46" t="n"/>
      <c r="L18" s="46" t="n"/>
    </row>
    <row r="19" ht="19.5" customHeight="1" s="49">
      <c r="C19" s="121" t="inlineStr">
        <is>
          <t>2. 자가 검수  —  제출 전 §4 검수기준으로 본인이 먼저 점검</t>
        </is>
      </c>
      <c r="D19" s="64" t="n"/>
      <c r="E19" s="64" t="n"/>
      <c r="F19" s="64" t="n"/>
      <c r="G19" s="64" t="n"/>
      <c r="H19" s="64" t="n"/>
      <c r="I19" s="64" t="n"/>
      <c r="J19" s="64" t="n"/>
      <c r="K19" s="64" t="n"/>
      <c r="L19" s="65" t="n"/>
    </row>
    <row r="20" ht="24" customHeight="1" s="49">
      <c r="C20" s="46" t="inlineStr">
        <is>
          <t>검수 항목 (자동)</t>
        </is>
      </c>
      <c r="D20" s="46" t="inlineStr">
        <is>
          <t>검수 질문 (자동)</t>
        </is>
      </c>
      <c r="E20" s="41" t="n"/>
      <c r="F20" s="41" t="n"/>
      <c r="G20" s="41" t="n"/>
      <c r="H20" s="42" t="n"/>
      <c r="I20" s="46" t="inlineStr">
        <is>
          <t>자가
판정</t>
        </is>
      </c>
      <c r="J20" s="46" t="inlineStr">
        <is>
          <t>미충족 사유·보완 계획</t>
        </is>
      </c>
      <c r="K20" s="42" t="n"/>
      <c r="L20" s="46" t="inlineStr">
        <is>
          <t>검수자
판정</t>
        </is>
      </c>
    </row>
    <row r="21" ht="24" customHeight="1" s="49">
      <c r="C21" s="69" t="n"/>
      <c r="D21" s="55" t="n"/>
      <c r="E21" s="41" t="n"/>
      <c r="F21" s="41" t="n"/>
      <c r="G21" s="41" t="n"/>
      <c r="H21" s="42" t="n"/>
      <c r="I21" s="47" t="n"/>
      <c r="J21" s="44" t="n"/>
      <c r="K21" s="42" t="n"/>
      <c r="L21" s="66" t="n"/>
    </row>
    <row r="22" ht="24" customHeight="1" s="49">
      <c r="C22" s="69" t="n"/>
      <c r="D22" s="55" t="n"/>
      <c r="E22" s="41" t="n"/>
      <c r="F22" s="41" t="n"/>
      <c r="G22" s="41" t="n"/>
      <c r="H22" s="42" t="n"/>
      <c r="I22" s="47" t="n"/>
      <c r="J22" s="44" t="n"/>
      <c r="K22" s="42" t="n"/>
      <c r="L22" s="66" t="n"/>
    </row>
    <row r="23" ht="24" customHeight="1" s="49">
      <c r="C23" s="69" t="n"/>
      <c r="D23" s="55" t="n"/>
      <c r="E23" s="41" t="n"/>
      <c r="F23" s="41" t="n"/>
      <c r="G23" s="41" t="n"/>
      <c r="H23" s="42" t="n"/>
      <c r="I23" s="47" t="n"/>
      <c r="J23" s="44" t="n"/>
      <c r="K23" s="42" t="n"/>
      <c r="L23" s="66" t="n"/>
    </row>
    <row r="24" ht="24" customHeight="1" s="49">
      <c r="C24" s="69" t="n"/>
      <c r="D24" s="55" t="n"/>
      <c r="E24" s="41" t="n"/>
      <c r="F24" s="41" t="n"/>
      <c r="G24" s="41" t="n"/>
      <c r="H24" s="42" t="n"/>
      <c r="I24" s="47" t="n"/>
      <c r="J24" s="44" t="n"/>
      <c r="K24" s="42" t="n"/>
      <c r="L24" s="66" t="n"/>
    </row>
    <row r="25" ht="24" customHeight="1" s="49">
      <c r="C25" s="69" t="n"/>
      <c r="D25" s="55" t="n"/>
      <c r="E25" s="41" t="n"/>
      <c r="F25" s="41" t="n"/>
      <c r="G25" s="41" t="n"/>
      <c r="H25" s="42" t="n"/>
      <c r="I25" s="47" t="n"/>
      <c r="J25" s="44" t="n"/>
      <c r="K25" s="42" t="n"/>
      <c r="L25" s="66" t="n"/>
    </row>
    <row r="26" ht="24" customHeight="1" s="49">
      <c r="C26" s="69" t="n"/>
      <c r="D26" s="55" t="n"/>
      <c r="E26" s="41" t="n"/>
      <c r="F26" s="41" t="n"/>
      <c r="G26" s="41" t="n"/>
      <c r="H26" s="42" t="n"/>
      <c r="I26" s="47" t="n"/>
      <c r="J26" s="44" t="n"/>
      <c r="K26" s="42" t="n"/>
      <c r="L26" s="66" t="n"/>
    </row>
    <row r="27" ht="24" customHeight="1" s="49">
      <c r="C27" s="69" t="n"/>
      <c r="D27" s="55" t="n"/>
      <c r="E27" s="41" t="n"/>
      <c r="F27" s="41" t="n"/>
      <c r="G27" s="41" t="n"/>
      <c r="H27" s="42" t="n"/>
      <c r="I27" s="47" t="n"/>
      <c r="J27" s="44" t="n"/>
      <c r="K27" s="42" t="n"/>
      <c r="L27" s="66" t="n"/>
    </row>
    <row r="28" ht="27.75" customHeight="1" s="49">
      <c r="C28" s="46" t="n"/>
      <c r="D28" s="46" t="n"/>
      <c r="E28" s="46" t="n"/>
      <c r="F28" s="46" t="n"/>
      <c r="G28" s="46" t="n"/>
      <c r="H28" s="46" t="n"/>
      <c r="I28" s="46" t="n"/>
      <c r="J28" s="46" t="n"/>
      <c r="K28" s="46" t="n"/>
      <c r="L28" s="46" t="n"/>
    </row>
    <row r="29" ht="19.5" customHeight="1" s="49">
      <c r="C29" s="121" t="inlineStr">
        <is>
          <t>3. 이슈 및 지원요청  —  대안 없이 문제만 올리는 보고는 반려</t>
        </is>
      </c>
      <c r="D29" s="64" t="n"/>
      <c r="E29" s="64" t="n"/>
      <c r="F29" s="64" t="n"/>
      <c r="G29" s="64" t="n"/>
      <c r="H29" s="64" t="n"/>
      <c r="I29" s="64" t="n"/>
      <c r="J29" s="64" t="n"/>
      <c r="K29" s="64" t="n"/>
      <c r="L29" s="65" t="n"/>
    </row>
    <row r="30" ht="27.75" customHeight="1" s="49">
      <c r="C30" s="46" t="inlineStr">
        <is>
          <t>구분</t>
        </is>
      </c>
      <c r="D30" s="46" t="inlineStr">
        <is>
          <t>이슈 내용</t>
        </is>
      </c>
      <c r="E30" s="46" t="inlineStr">
        <is>
          <t>영향
(일정/비용/품질)</t>
        </is>
      </c>
      <c r="F30" s="46" t="inlineStr">
        <is>
          <t>근본 원인</t>
        </is>
      </c>
      <c r="G30" s="46" t="inlineStr">
        <is>
          <t>대안 1</t>
        </is>
      </c>
      <c r="H30" s="46" t="inlineStr">
        <is>
          <t>대안 2</t>
        </is>
      </c>
      <c r="I30" s="46" t="inlineStr">
        <is>
          <t>권고안</t>
        </is>
      </c>
      <c r="J30" s="46" t="inlineStr">
        <is>
          <t>요청사항</t>
        </is>
      </c>
      <c r="K30" s="46" t="inlineStr">
        <is>
          <t>결정기한</t>
        </is>
      </c>
      <c r="L30" s="46" t="inlineStr">
        <is>
          <t>대표 결정</t>
        </is>
      </c>
    </row>
    <row r="31" ht="36" customHeight="1" s="49">
      <c r="C31" s="6" t="n"/>
      <c r="D31" s="18" t="n"/>
      <c r="E31" s="6" t="n"/>
      <c r="F31" s="18" t="n"/>
      <c r="G31" s="18" t="n"/>
      <c r="H31" s="18" t="n"/>
      <c r="I31" s="18" t="n"/>
      <c r="J31" s="18" t="n"/>
      <c r="K31" s="6" t="n"/>
      <c r="L31" s="66" t="n"/>
    </row>
    <row r="32" ht="36" customHeight="1" s="49">
      <c r="C32" s="6" t="n"/>
      <c r="D32" s="18" t="n"/>
      <c r="E32" s="6" t="n"/>
      <c r="F32" s="18" t="n"/>
      <c r="G32" s="18" t="n"/>
      <c r="H32" s="18" t="n"/>
      <c r="I32" s="18" t="n"/>
      <c r="J32" s="18" t="n"/>
      <c r="K32" s="6" t="n"/>
      <c r="L32" s="66" t="n"/>
    </row>
    <row r="33" ht="36" customHeight="1" s="49">
      <c r="C33" s="6" t="n"/>
      <c r="D33" s="18" t="n"/>
      <c r="E33" s="6" t="n"/>
      <c r="F33" s="18" t="n"/>
      <c r="G33" s="18" t="n"/>
      <c r="H33" s="18" t="n"/>
      <c r="I33" s="18" t="n"/>
      <c r="J33" s="18" t="n"/>
      <c r="K33" s="6" t="n"/>
      <c r="L33" s="66" t="n"/>
    </row>
    <row r="34" ht="27.75" customHeight="1" s="49">
      <c r="C34" s="13" t="n"/>
      <c r="D34" s="46" t="n"/>
      <c r="E34" s="46" t="n"/>
      <c r="F34" s="46" t="n"/>
      <c r="G34" s="46" t="n"/>
      <c r="H34" s="46" t="n"/>
      <c r="I34" s="46" t="n"/>
      <c r="J34" s="46" t="n"/>
      <c r="K34" s="46" t="n"/>
      <c r="L34" s="46" t="n"/>
    </row>
    <row r="35" ht="19.5" customHeight="1" s="49">
      <c r="C35" s="121" t="inlineStr">
        <is>
          <t>4. 다음 주 제안 업무  —  지시를 기다리지 말 것. 본인이 먼저 제안.</t>
        </is>
      </c>
      <c r="D35" s="64" t="n"/>
      <c r="E35" s="64" t="n"/>
      <c r="F35" s="64" t="n"/>
      <c r="G35" s="64" t="n"/>
      <c r="H35" s="64" t="n"/>
      <c r="I35" s="64" t="n"/>
      <c r="J35" s="64" t="n"/>
      <c r="K35" s="64" t="n"/>
      <c r="L35" s="65" t="n"/>
    </row>
    <row r="36" ht="27.75" customHeight="1" s="49">
      <c r="C36" s="13" t="inlineStr">
        <is>
          <t>No</t>
        </is>
      </c>
      <c r="D36" s="46" t="inlineStr">
        <is>
          <t>제안 업무</t>
        </is>
      </c>
      <c r="E36" s="46" t="inlineStr">
        <is>
          <t>왜 해야 하는가</t>
        </is>
      </c>
      <c r="F36" s="46" t="inlineStr">
        <is>
          <t>완료기준(안)</t>
        </is>
      </c>
      <c r="G36" s="46" t="inlineStr">
        <is>
          <t>예상
소요(h)</t>
        </is>
      </c>
      <c r="H36" s="46" t="inlineStr">
        <is>
          <t>우선순위(안)</t>
        </is>
      </c>
      <c r="I36" s="46" t="inlineStr">
        <is>
          <t>선행 조건</t>
        </is>
      </c>
      <c r="J36" s="46" t="inlineStr">
        <is>
          <t>필요 지원</t>
        </is>
      </c>
      <c r="K36" s="46" t="inlineStr">
        <is>
          <t>대표 승인</t>
        </is>
      </c>
      <c r="L36" s="46" t="inlineStr">
        <is>
          <t>비고</t>
        </is>
      </c>
    </row>
    <row r="37" ht="31.5" customHeight="1" s="49">
      <c r="C37" s="22" t="n">
        <v>1</v>
      </c>
      <c r="D37" s="18" t="n"/>
      <c r="E37" s="18" t="n"/>
      <c r="F37" s="18" t="n"/>
      <c r="G37" s="114" t="n"/>
      <c r="H37" s="6" t="n"/>
      <c r="I37" s="18" t="n"/>
      <c r="J37" s="18" t="n"/>
      <c r="K37" s="66" t="n"/>
      <c r="L37" s="6" t="n"/>
    </row>
    <row r="38" ht="31.5" customHeight="1" s="49">
      <c r="C38" s="22" t="n">
        <v>2</v>
      </c>
      <c r="D38" s="18" t="n"/>
      <c r="E38" s="18" t="n"/>
      <c r="F38" s="18" t="n"/>
      <c r="G38" s="114" t="n"/>
      <c r="H38" s="6" t="n"/>
      <c r="I38" s="18" t="n"/>
      <c r="J38" s="18" t="n"/>
      <c r="K38" s="66" t="n"/>
      <c r="L38" s="6" t="n"/>
    </row>
    <row r="39" ht="31.5" customHeight="1" s="49">
      <c r="C39" s="22" t="n">
        <v>3</v>
      </c>
      <c r="D39" s="18" t="n"/>
      <c r="E39" s="18" t="n"/>
      <c r="F39" s="18" t="n"/>
      <c r="G39" s="114" t="n"/>
      <c r="H39" s="6" t="n"/>
      <c r="I39" s="18" t="n"/>
      <c r="J39" s="18" t="n"/>
      <c r="K39" s="66" t="n"/>
      <c r="L39" s="6" t="n"/>
    </row>
    <row r="40" ht="31.5" customHeight="1" s="49">
      <c r="C40" s="22" t="n">
        <v>4</v>
      </c>
      <c r="D40" s="18" t="n"/>
      <c r="E40" s="18" t="n"/>
      <c r="F40" s="18" t="n"/>
      <c r="G40" s="114" t="n"/>
      <c r="H40" s="6" t="n"/>
      <c r="I40" s="18" t="n"/>
      <c r="J40" s="18" t="n"/>
      <c r="K40" s="66" t="n"/>
      <c r="L40" s="6" t="n"/>
    </row>
    <row r="41" ht="25.5" customHeight="1" s="49">
      <c r="C41" s="45" t="n"/>
      <c r="D41" s="43" t="n"/>
      <c r="J41" s="58" t="n"/>
    </row>
    <row r="42" ht="19.5" customHeight="1" s="49">
      <c r="C42" s="48" t="inlineStr">
        <is>
          <t>5. 자기점검 및 대표 검수</t>
        </is>
      </c>
    </row>
    <row r="43" ht="25.5" customHeight="1" s="49">
      <c r="C43" s="45" t="inlineStr">
        <is>
          <t>이번 주 가장 잘한 것</t>
        </is>
      </c>
      <c r="D43" s="43" t="inlineStr">
        <is>
          <t>결과로 증명되는 것 1개만</t>
        </is>
      </c>
      <c r="E43" s="41" t="n"/>
      <c r="F43" s="41" t="n"/>
      <c r="G43" s="41" t="n"/>
      <c r="H43" s="41" t="n"/>
      <c r="I43" s="42" t="n"/>
      <c r="J43" s="58" t="inlineStr">
        <is>
          <t>[대표 검수 의견]</t>
        </is>
      </c>
      <c r="K43" s="59" t="n"/>
      <c r="L43" s="60" t="n"/>
    </row>
    <row r="44" ht="25.5" customHeight="1" s="49">
      <c r="C44" s="45" t="inlineStr">
        <is>
          <t>이번 주 가장 부족한 것</t>
        </is>
      </c>
      <c r="D44" s="43" t="inlineStr">
        <is>
          <t>변명 말고 사실만</t>
        </is>
      </c>
      <c r="E44" s="41" t="n"/>
      <c r="F44" s="41" t="n"/>
      <c r="G44" s="41" t="n"/>
      <c r="H44" s="41" t="n"/>
      <c r="I44" s="42" t="n"/>
      <c r="J44" s="61" t="n"/>
      <c r="L44" s="62" t="n"/>
    </row>
    <row r="45" ht="25.5" customHeight="1" s="49">
      <c r="C45" s="45" t="inlineStr">
        <is>
          <t>다음 주 개선 액션 1개</t>
        </is>
      </c>
      <c r="D45" s="43" t="inlineStr">
        <is>
          <t>실행 가능한 행동으로</t>
        </is>
      </c>
      <c r="E45" s="41" t="n"/>
      <c r="F45" s="41" t="n"/>
      <c r="G45" s="41" t="n"/>
      <c r="H45" s="41" t="n"/>
      <c r="I45" s="42" t="n"/>
      <c r="J45" s="63" t="n"/>
      <c r="K45" s="64" t="n"/>
      <c r="L45" s="65" t="n"/>
    </row>
    <row r="47" ht="33.75" customHeight="1" s="49">
      <c r="C47" s="45" t="inlineStr">
        <is>
          <t>제출자</t>
        </is>
      </c>
      <c r="D47" s="47" t="n"/>
      <c r="E47" s="41" t="n"/>
      <c r="F47" s="42" t="n"/>
      <c r="G47" s="45" t="inlineStr">
        <is>
          <t>검수자</t>
        </is>
      </c>
      <c r="H47" s="66" t="n"/>
      <c r="I47" s="42" t="n"/>
      <c r="J47" s="45" t="inlineStr">
        <is>
          <t>최종 판정</t>
        </is>
      </c>
      <c r="K47" s="56" t="n"/>
      <c r="L47" s="42" t="n"/>
    </row>
  </sheetData>
  <mergeCells count="34">
    <mergeCell ref="D20:H20"/>
    <mergeCell ref="D22:H22"/>
    <mergeCell ref="D47:F47"/>
    <mergeCell ref="D7:L7"/>
    <mergeCell ref="D43:I43"/>
    <mergeCell ref="C19:L19"/>
    <mergeCell ref="D21:H21"/>
    <mergeCell ref="K47:L47"/>
    <mergeCell ref="J24:K24"/>
    <mergeCell ref="D27:H27"/>
    <mergeCell ref="J27:K27"/>
    <mergeCell ref="C42:L42"/>
    <mergeCell ref="D17:E17"/>
    <mergeCell ref="J26:K26"/>
    <mergeCell ref="J20:K20"/>
    <mergeCell ref="J25:K25"/>
    <mergeCell ref="C29:L29"/>
    <mergeCell ref="C35:L35"/>
    <mergeCell ref="J43:L45"/>
    <mergeCell ref="J17:L17"/>
    <mergeCell ref="D44:I44"/>
    <mergeCell ref="J22:K22"/>
    <mergeCell ref="H47:I47"/>
    <mergeCell ref="C1:L1"/>
    <mergeCell ref="J21:K21"/>
    <mergeCell ref="D25:H25"/>
    <mergeCell ref="C9:L9"/>
    <mergeCell ref="D24:H24"/>
    <mergeCell ref="D45:I45"/>
    <mergeCell ref="D23:H23"/>
    <mergeCell ref="J23:K23"/>
    <mergeCell ref="C2:L2"/>
    <mergeCell ref="D6:L6"/>
    <mergeCell ref="D26:H26"/>
  </mergeCells>
  <dataValidations count="5">
    <dataValidation sqref="I21:I27" showDropDown="0" showInputMessage="0" showErrorMessage="0" allowBlank="1" type="list">
      <formula1>"충족,미충족"</formula1>
    </dataValidation>
    <dataValidation sqref="L21:L27" showDropDown="0" showInputMessage="0" showErrorMessage="0" allowBlank="1" type="list">
      <formula1>"합격,보완,불합격"</formula1>
    </dataValidation>
    <dataValidation sqref="K37:K40 L31:L33" showDropDown="0" showInputMessage="0" showErrorMessage="0" allowBlank="1" type="list">
      <formula1>"승인,보류,반려"</formula1>
    </dataValidation>
    <dataValidation sqref="K47" showDropDown="0" showInputMessage="0" showErrorMessage="0" allowBlank="1" type="list">
      <formula1>"합격,조건부합격,보완요청,불합격"</formula1>
    </dataValidation>
    <dataValidation sqref="G12:G16" showDropDown="0" showInputMessage="0" showErrorMessage="0" allowBlank="1" type="list">
      <formula1>"완료,진행중,미착수,보류,취소"</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M28"/>
  <sheetViews>
    <sheetView showGridLines="0" zoomScaleNormal="100" workbookViewId="0">
      <selection activeCell="K33" sqref="K33"/>
    </sheetView>
  </sheetViews>
  <sheetFormatPr baseColWidth="8" defaultColWidth="8.7109375" defaultRowHeight="15"/>
  <cols>
    <col width="12" customWidth="1" style="49" min="1" max="1"/>
    <col width="10" customWidth="1" style="49" min="2" max="2"/>
    <col width="7" customWidth="1" style="49" min="3" max="4"/>
    <col width="8" customWidth="1" style="49" min="5" max="7"/>
    <col width="7" customWidth="1" style="49" min="8" max="9"/>
    <col width="9" customWidth="1" style="49" min="10" max="10"/>
    <col width="36" customWidth="1" style="49" min="11" max="11"/>
    <col width="30" customWidth="1" style="49" min="12" max="12"/>
    <col width="7" customWidth="1" style="49" min="13" max="13"/>
  </cols>
  <sheetData>
    <row r="1" ht="25.5" customHeight="1" s="49">
      <c r="A1" s="31" t="inlineStr">
        <is>
          <t>주간 관리대장 (대표용 누적)</t>
        </is>
      </c>
    </row>
    <row r="2">
      <c r="A2" s="3" t="inlineStr">
        <is>
          <t>매주 금요일 검수 후 1행 누적. 2주 연속 '경고'는 업무 재설계 또는 인사 조치 검토 대상.</t>
        </is>
      </c>
    </row>
    <row r="4" ht="30" customHeight="1" s="49">
      <c r="A4" s="46" t="inlineStr">
        <is>
          <t>주차</t>
        </is>
      </c>
      <c r="B4" s="46" t="inlineStr">
        <is>
          <t>담당자</t>
        </is>
      </c>
      <c r="C4" s="46" t="inlineStr">
        <is>
          <t>지시
건수</t>
        </is>
      </c>
      <c r="D4" s="46" t="inlineStr">
        <is>
          <t>완료
건수</t>
        </is>
      </c>
      <c r="E4" s="46" t="inlineStr">
        <is>
          <t>완료율</t>
        </is>
      </c>
      <c r="F4" s="46" t="inlineStr">
        <is>
          <t>가중
달성률</t>
        </is>
      </c>
      <c r="G4" s="46" t="inlineStr">
        <is>
          <t>판정</t>
        </is>
      </c>
      <c r="H4" s="46" t="inlineStr">
        <is>
          <t>계획
h</t>
        </is>
      </c>
      <c r="I4" s="46" t="inlineStr">
        <is>
          <t>실제
h</t>
        </is>
      </c>
      <c r="J4" s="46" t="inlineStr">
        <is>
          <t>시간
정확도</t>
        </is>
      </c>
      <c r="K4" s="46" t="inlineStr">
        <is>
          <t>미완료 핵심 사유</t>
        </is>
      </c>
      <c r="L4" s="46" t="inlineStr">
        <is>
          <t>대표 조치</t>
        </is>
      </c>
      <c r="M4" s="46" t="inlineStr">
        <is>
          <t>누적
경고</t>
        </is>
      </c>
    </row>
    <row r="5" ht="21.75" customHeight="1" s="49">
      <c r="A5" s="6" t="n"/>
      <c r="B5" s="6" t="n"/>
      <c r="C5" s="6" t="n"/>
      <c r="D5" s="6" t="n"/>
      <c r="E5" s="11">
        <f>IFERROR(D5/C5,0)</f>
        <v/>
      </c>
      <c r="F5" s="19" t="n"/>
      <c r="G5" s="12">
        <f>IF(F5="","",IF(F5&gt;=1,"완수",IF(F5&gt;=0.9,"정상",IF(F5&gt;=0.7,"주의","경고"))))</f>
        <v/>
      </c>
      <c r="H5" s="6" t="n"/>
      <c r="I5" s="6" t="n"/>
      <c r="J5" s="11">
        <f>IFERROR(I5/H5,0)</f>
        <v/>
      </c>
      <c r="K5" s="1" t="n"/>
      <c r="L5" s="1" t="n"/>
      <c r="M5" s="12">
        <f>IF(B5="","",COUNTIFS($B$5:B5,B5,$G$5:G5,"경고"))</f>
        <v/>
      </c>
    </row>
    <row r="6" ht="21.75" customHeight="1" s="49">
      <c r="A6" s="6" t="n"/>
      <c r="B6" s="6" t="n"/>
      <c r="C6" s="6" t="n"/>
      <c r="D6" s="6" t="n"/>
      <c r="E6" s="11">
        <f>IFERROR(D6/C6,0)</f>
        <v/>
      </c>
      <c r="F6" s="19" t="n"/>
      <c r="G6" s="12">
        <f>IF(F6="","",IF(F6&gt;=1,"완수",IF(F6&gt;=0.9,"정상",IF(F6&gt;=0.7,"주의","경고"))))</f>
        <v/>
      </c>
      <c r="H6" s="6" t="n"/>
      <c r="I6" s="6" t="n"/>
      <c r="J6" s="11">
        <f>IFERROR(I6/H6,0)</f>
        <v/>
      </c>
      <c r="K6" s="1" t="n"/>
      <c r="L6" s="1" t="n"/>
      <c r="M6" s="12">
        <f>IF(B6="","",COUNTIFS($B$5:B6,B6,$G$5:G6,"경고"))</f>
        <v/>
      </c>
    </row>
    <row r="7" ht="21.75" customHeight="1" s="49">
      <c r="A7" s="6" t="n"/>
      <c r="B7" s="6" t="n"/>
      <c r="C7" s="6" t="n"/>
      <c r="D7" s="6" t="n"/>
      <c r="E7" s="11">
        <f>IFERROR(D7/C7,0)</f>
        <v/>
      </c>
      <c r="F7" s="19" t="n"/>
      <c r="G7" s="12">
        <f>IF(F7="","",IF(F7&gt;=1,"완수",IF(F7&gt;=0.9,"정상",IF(F7&gt;=0.7,"주의","경고"))))</f>
        <v/>
      </c>
      <c r="H7" s="6" t="n"/>
      <c r="I7" s="6" t="n"/>
      <c r="J7" s="11">
        <f>IFERROR(I7/H7,0)</f>
        <v/>
      </c>
      <c r="K7" s="1" t="n"/>
      <c r="L7" s="1" t="n"/>
      <c r="M7" s="12">
        <f>IF(B7="","",COUNTIFS($B$5:B7,B7,$G$5:G7,"경고"))</f>
        <v/>
      </c>
    </row>
    <row r="8" ht="21.75" customHeight="1" s="49">
      <c r="A8" s="6" t="n"/>
      <c r="B8" s="6" t="n"/>
      <c r="C8" s="6" t="n"/>
      <c r="D8" s="6" t="n"/>
      <c r="E8" s="11">
        <f>IFERROR(D8/C8,0)</f>
        <v/>
      </c>
      <c r="F8" s="19" t="n"/>
      <c r="G8" s="12">
        <f>IF(F8="","",IF(F8&gt;=1,"완수",IF(F8&gt;=0.9,"정상",IF(F8&gt;=0.7,"주의","경고"))))</f>
        <v/>
      </c>
      <c r="H8" s="6" t="n"/>
      <c r="I8" s="6" t="n"/>
      <c r="J8" s="11">
        <f>IFERROR(I8/H8,0)</f>
        <v/>
      </c>
      <c r="K8" s="1" t="n"/>
      <c r="L8" s="1" t="n"/>
      <c r="M8" s="12">
        <f>IF(B8="","",COUNTIFS($B$5:B8,B8,$G$5:G8,"경고"))</f>
        <v/>
      </c>
    </row>
    <row r="9" ht="21.75" customHeight="1" s="49">
      <c r="A9" s="6" t="n"/>
      <c r="B9" s="6" t="n"/>
      <c r="C9" s="6" t="n"/>
      <c r="D9" s="6" t="n"/>
      <c r="E9" s="11">
        <f>IFERROR(D9/C9,0)</f>
        <v/>
      </c>
      <c r="F9" s="19" t="n"/>
      <c r="G9" s="12">
        <f>IF(F9="","",IF(F9&gt;=1,"완수",IF(F9&gt;=0.9,"정상",IF(F9&gt;=0.7,"주의","경고"))))</f>
        <v/>
      </c>
      <c r="H9" s="6" t="n"/>
      <c r="I9" s="6" t="n"/>
      <c r="J9" s="11">
        <f>IFERROR(I9/H9,0)</f>
        <v/>
      </c>
      <c r="K9" s="1" t="n"/>
      <c r="L9" s="1" t="n"/>
      <c r="M9" s="12">
        <f>IF(B9="","",COUNTIFS($B$5:B9,B9,$G$5:G9,"경고"))</f>
        <v/>
      </c>
    </row>
    <row r="10" ht="21.75" customHeight="1" s="49">
      <c r="A10" s="6" t="n"/>
      <c r="B10" s="6" t="n"/>
      <c r="C10" s="6" t="n"/>
      <c r="D10" s="6" t="n"/>
      <c r="E10" s="11">
        <f>IFERROR(D10/C10,0)</f>
        <v/>
      </c>
      <c r="F10" s="19" t="n"/>
      <c r="G10" s="12">
        <f>IF(F10="","",IF(F10&gt;=1,"완수",IF(F10&gt;=0.9,"정상",IF(F10&gt;=0.7,"주의","경고"))))</f>
        <v/>
      </c>
      <c r="H10" s="6" t="n"/>
      <c r="I10" s="6" t="n"/>
      <c r="J10" s="11">
        <f>IFERROR(I10/H10,0)</f>
        <v/>
      </c>
      <c r="K10" s="1" t="n"/>
      <c r="L10" s="1" t="n"/>
      <c r="M10" s="12">
        <f>IF(B10="","",COUNTIFS($B$5:B10,B10,$G$5:G10,"경고"))</f>
        <v/>
      </c>
    </row>
    <row r="11" ht="21.75" customHeight="1" s="49">
      <c r="A11" s="6" t="n"/>
      <c r="B11" s="6" t="n"/>
      <c r="C11" s="6" t="n"/>
      <c r="D11" s="6" t="n"/>
      <c r="E11" s="11">
        <f>IFERROR(D11/C11,0)</f>
        <v/>
      </c>
      <c r="F11" s="19" t="n"/>
      <c r="G11" s="12">
        <f>IF(F11="","",IF(F11&gt;=1,"완수",IF(F11&gt;=0.9,"정상",IF(F11&gt;=0.7,"주의","경고"))))</f>
        <v/>
      </c>
      <c r="H11" s="6" t="n"/>
      <c r="I11" s="6" t="n"/>
      <c r="J11" s="11">
        <f>IFERROR(I11/H11,0)</f>
        <v/>
      </c>
      <c r="K11" s="1" t="n"/>
      <c r="L11" s="1" t="n"/>
      <c r="M11" s="12">
        <f>IF(B11="","",COUNTIFS($B$5:B11,B11,$G$5:G11,"경고"))</f>
        <v/>
      </c>
    </row>
    <row r="12" ht="21.75" customHeight="1" s="49">
      <c r="A12" s="6" t="n"/>
      <c r="B12" s="6" t="n"/>
      <c r="C12" s="6" t="n"/>
      <c r="D12" s="6" t="n"/>
      <c r="E12" s="11">
        <f>IFERROR(D12/C12,0)</f>
        <v/>
      </c>
      <c r="F12" s="19" t="n"/>
      <c r="G12" s="12">
        <f>IF(F12="","",IF(F12&gt;=1,"완수",IF(F12&gt;=0.9,"정상",IF(F12&gt;=0.7,"주의","경고"))))</f>
        <v/>
      </c>
      <c r="H12" s="6" t="n"/>
      <c r="I12" s="6" t="n"/>
      <c r="J12" s="11">
        <f>IFERROR(I12/H12,0)</f>
        <v/>
      </c>
      <c r="K12" s="1" t="n"/>
      <c r="L12" s="1" t="n"/>
      <c r="M12" s="12">
        <f>IF(B12="","",COUNTIFS($B$5:B12,B12,$G$5:G12,"경고"))</f>
        <v/>
      </c>
    </row>
    <row r="13" ht="21.75" customHeight="1" s="49">
      <c r="A13" s="6" t="n"/>
      <c r="B13" s="6" t="n"/>
      <c r="C13" s="6" t="n"/>
      <c r="D13" s="6" t="n"/>
      <c r="E13" s="11">
        <f>IFERROR(D13/C13,0)</f>
        <v/>
      </c>
      <c r="F13" s="19" t="n"/>
      <c r="G13" s="12">
        <f>IF(F13="","",IF(F13&gt;=1,"완수",IF(F13&gt;=0.9,"정상",IF(F13&gt;=0.7,"주의","경고"))))</f>
        <v/>
      </c>
      <c r="H13" s="6" t="n"/>
      <c r="I13" s="6" t="n"/>
      <c r="J13" s="11">
        <f>IFERROR(I13/H13,0)</f>
        <v/>
      </c>
      <c r="K13" s="1" t="n"/>
      <c r="L13" s="1" t="n"/>
      <c r="M13" s="12">
        <f>IF(B13="","",COUNTIFS($B$5:B13,B13,$G$5:G13,"경고"))</f>
        <v/>
      </c>
    </row>
    <row r="14" ht="21.75" customHeight="1" s="49">
      <c r="A14" s="6" t="n"/>
      <c r="B14" s="6" t="n"/>
      <c r="C14" s="6" t="n"/>
      <c r="D14" s="6" t="n"/>
      <c r="E14" s="11">
        <f>IFERROR(D14/C14,0)</f>
        <v/>
      </c>
      <c r="F14" s="19" t="n"/>
      <c r="G14" s="12">
        <f>IF(F14="","",IF(F14&gt;=1,"완수",IF(F14&gt;=0.9,"정상",IF(F14&gt;=0.7,"주의","경고"))))</f>
        <v/>
      </c>
      <c r="H14" s="6" t="n"/>
      <c r="I14" s="6" t="n"/>
      <c r="J14" s="11">
        <f>IFERROR(I14/H14,0)</f>
        <v/>
      </c>
      <c r="K14" s="1" t="n"/>
      <c r="L14" s="1" t="n"/>
      <c r="M14" s="12">
        <f>IF(B14="","",COUNTIFS($B$5:B14,B14,$G$5:G14,"경고"))</f>
        <v/>
      </c>
    </row>
    <row r="15" ht="21.75" customHeight="1" s="49">
      <c r="A15" s="6" t="n"/>
      <c r="B15" s="6" t="n"/>
      <c r="C15" s="6" t="n"/>
      <c r="D15" s="6" t="n"/>
      <c r="E15" s="11">
        <f>IFERROR(D15/C15,0)</f>
        <v/>
      </c>
      <c r="F15" s="19" t="n"/>
      <c r="G15" s="12">
        <f>IF(F15="","",IF(F15&gt;=1,"완수",IF(F15&gt;=0.9,"정상",IF(F15&gt;=0.7,"주의","경고"))))</f>
        <v/>
      </c>
      <c r="H15" s="6" t="n"/>
      <c r="I15" s="6" t="n"/>
      <c r="J15" s="11">
        <f>IFERROR(I15/H15,0)</f>
        <v/>
      </c>
      <c r="K15" s="1" t="n"/>
      <c r="L15" s="1" t="n"/>
      <c r="M15" s="12">
        <f>IF(B15="","",COUNTIFS($B$5:B15,B15,$G$5:G15,"경고"))</f>
        <v/>
      </c>
    </row>
    <row r="16" ht="21.75" customHeight="1" s="49">
      <c r="A16" s="6" t="n"/>
      <c r="B16" s="6" t="n"/>
      <c r="C16" s="6" t="n"/>
      <c r="D16" s="6" t="n"/>
      <c r="E16" s="11">
        <f>IFERROR(D16/C16,0)</f>
        <v/>
      </c>
      <c r="F16" s="19" t="n"/>
      <c r="G16" s="12">
        <f>IF(F16="","",IF(F16&gt;=1,"완수",IF(F16&gt;=0.9,"정상",IF(F16&gt;=0.7,"주의","경고"))))</f>
        <v/>
      </c>
      <c r="H16" s="6" t="n"/>
      <c r="I16" s="6" t="n"/>
      <c r="J16" s="11">
        <f>IFERROR(I16/H16,0)</f>
        <v/>
      </c>
      <c r="K16" s="1" t="n"/>
      <c r="L16" s="1" t="n"/>
      <c r="M16" s="12">
        <f>IF(B16="","",COUNTIFS($B$5:B16,B16,$G$5:G16,"경고"))</f>
        <v/>
      </c>
    </row>
    <row r="17" ht="21.75" customHeight="1" s="49">
      <c r="A17" s="6" t="n"/>
      <c r="B17" s="6" t="n"/>
      <c r="C17" s="6" t="n"/>
      <c r="D17" s="6" t="n"/>
      <c r="E17" s="11">
        <f>IFERROR(D17/C17,0)</f>
        <v/>
      </c>
      <c r="F17" s="19" t="n"/>
      <c r="G17" s="12">
        <f>IF(F17="","",IF(F17&gt;=1,"완수",IF(F17&gt;=0.9,"정상",IF(F17&gt;=0.7,"주의","경고"))))</f>
        <v/>
      </c>
      <c r="H17" s="6" t="n"/>
      <c r="I17" s="6" t="n"/>
      <c r="J17" s="11">
        <f>IFERROR(I17/H17,0)</f>
        <v/>
      </c>
      <c r="K17" s="1" t="n"/>
      <c r="L17" s="1" t="n"/>
      <c r="M17" s="12">
        <f>IF(B17="","",COUNTIFS($B$5:B17,B17,$G$5:G17,"경고"))</f>
        <v/>
      </c>
    </row>
    <row r="18" ht="21.75" customHeight="1" s="49">
      <c r="A18" s="6" t="n"/>
      <c r="B18" s="6" t="n"/>
      <c r="C18" s="6" t="n"/>
      <c r="D18" s="6" t="n"/>
      <c r="E18" s="11">
        <f>IFERROR(D18/C18,0)</f>
        <v/>
      </c>
      <c r="F18" s="19" t="n"/>
      <c r="G18" s="12">
        <f>IF(F18="","",IF(F18&gt;=1,"완수",IF(F18&gt;=0.9,"정상",IF(F18&gt;=0.7,"주의","경고"))))</f>
        <v/>
      </c>
      <c r="H18" s="6" t="n"/>
      <c r="I18" s="6" t="n"/>
      <c r="J18" s="11">
        <f>IFERROR(I18/H18,0)</f>
        <v/>
      </c>
      <c r="K18" s="1" t="n"/>
      <c r="L18" s="1" t="n"/>
      <c r="M18" s="12">
        <f>IF(B18="","",COUNTIFS($B$5:B18,B18,$G$5:G18,"경고"))</f>
        <v/>
      </c>
    </row>
    <row r="19" ht="21.75" customHeight="1" s="49">
      <c r="A19" s="6" t="n"/>
      <c r="B19" s="6" t="n"/>
      <c r="C19" s="6" t="n"/>
      <c r="D19" s="6" t="n"/>
      <c r="E19" s="11">
        <f>IFERROR(D19/C19,0)</f>
        <v/>
      </c>
      <c r="F19" s="19" t="n"/>
      <c r="G19" s="12">
        <f>IF(F19="","",IF(F19&gt;=1,"완수",IF(F19&gt;=0.9,"정상",IF(F19&gt;=0.7,"주의","경고"))))</f>
        <v/>
      </c>
      <c r="H19" s="6" t="n"/>
      <c r="I19" s="6" t="n"/>
      <c r="J19" s="11">
        <f>IFERROR(I19/H19,0)</f>
        <v/>
      </c>
      <c r="K19" s="1" t="n"/>
      <c r="L19" s="1" t="n"/>
      <c r="M19" s="12">
        <f>IF(B19="","",COUNTIFS($B$5:B19,B19,$G$5:G19,"경고"))</f>
        <v/>
      </c>
    </row>
    <row r="20" ht="21.75" customHeight="1" s="49">
      <c r="A20" s="6" t="n"/>
      <c r="B20" s="6" t="n"/>
      <c r="C20" s="6" t="n"/>
      <c r="D20" s="6" t="n"/>
      <c r="E20" s="11">
        <f>IFERROR(D20/C20,0)</f>
        <v/>
      </c>
      <c r="F20" s="19" t="n"/>
      <c r="G20" s="12">
        <f>IF(F20="","",IF(F20&gt;=1,"완수",IF(F20&gt;=0.9,"정상",IF(F20&gt;=0.7,"주의","경고"))))</f>
        <v/>
      </c>
      <c r="H20" s="6" t="n"/>
      <c r="I20" s="6" t="n"/>
      <c r="J20" s="11">
        <f>IFERROR(I20/H20,0)</f>
        <v/>
      </c>
      <c r="K20" s="1" t="n"/>
      <c r="L20" s="1" t="n"/>
      <c r="M20" s="12">
        <f>IF(B20="","",COUNTIFS($B$5:B20,B20,$G$5:G20,"경고"))</f>
        <v/>
      </c>
    </row>
    <row r="21" ht="21.75" customHeight="1" s="49">
      <c r="A21" s="6" t="n"/>
      <c r="B21" s="6" t="n"/>
      <c r="C21" s="6" t="n"/>
      <c r="D21" s="6" t="n"/>
      <c r="E21" s="11">
        <f>IFERROR(D21/C21,0)</f>
        <v/>
      </c>
      <c r="F21" s="19" t="n"/>
      <c r="G21" s="12">
        <f>IF(F21="","",IF(F21&gt;=1,"완수",IF(F21&gt;=0.9,"정상",IF(F21&gt;=0.7,"주의","경고"))))</f>
        <v/>
      </c>
      <c r="H21" s="6" t="n"/>
      <c r="I21" s="6" t="n"/>
      <c r="J21" s="11">
        <f>IFERROR(I21/H21,0)</f>
        <v/>
      </c>
      <c r="K21" s="1" t="n"/>
      <c r="L21" s="1" t="n"/>
      <c r="M21" s="12">
        <f>IF(B21="","",COUNTIFS($B$5:B21,B21,$G$5:G21,"경고"))</f>
        <v/>
      </c>
    </row>
    <row r="22" ht="21.75" customHeight="1" s="49">
      <c r="A22" s="6" t="n"/>
      <c r="B22" s="6" t="n"/>
      <c r="C22" s="6" t="n"/>
      <c r="D22" s="6" t="n"/>
      <c r="E22" s="11">
        <f>IFERROR(D22/C22,0)</f>
        <v/>
      </c>
      <c r="F22" s="19" t="n"/>
      <c r="G22" s="12">
        <f>IF(F22="","",IF(F22&gt;=1,"완수",IF(F22&gt;=0.9,"정상",IF(F22&gt;=0.7,"주의","경고"))))</f>
        <v/>
      </c>
      <c r="H22" s="6" t="n"/>
      <c r="I22" s="6" t="n"/>
      <c r="J22" s="11">
        <f>IFERROR(I22/H22,0)</f>
        <v/>
      </c>
      <c r="K22" s="1" t="n"/>
      <c r="L22" s="1" t="n"/>
      <c r="M22" s="12">
        <f>IF(B22="","",COUNTIFS($B$5:B22,B22,$G$5:G22,"경고"))</f>
        <v/>
      </c>
    </row>
    <row r="23" ht="21.75" customHeight="1" s="49">
      <c r="A23" s="6" t="n"/>
      <c r="B23" s="6" t="n"/>
      <c r="C23" s="6" t="n"/>
      <c r="D23" s="6" t="n"/>
      <c r="E23" s="11">
        <f>IFERROR(D23/C23,0)</f>
        <v/>
      </c>
      <c r="F23" s="19" t="n"/>
      <c r="G23" s="12">
        <f>IF(F23="","",IF(F23&gt;=1,"완수",IF(F23&gt;=0.9,"정상",IF(F23&gt;=0.7,"주의","경고"))))</f>
        <v/>
      </c>
      <c r="H23" s="6" t="n"/>
      <c r="I23" s="6" t="n"/>
      <c r="J23" s="11">
        <f>IFERROR(I23/H23,0)</f>
        <v/>
      </c>
      <c r="K23" s="1" t="n"/>
      <c r="L23" s="1" t="n"/>
      <c r="M23" s="12">
        <f>IF(B23="","",COUNTIFS($B$5:B23,B23,$G$5:G23,"경고"))</f>
        <v/>
      </c>
    </row>
    <row r="24" ht="21.75" customHeight="1" s="49">
      <c r="A24" s="6" t="n"/>
      <c r="B24" s="6" t="n"/>
      <c r="C24" s="6" t="n"/>
      <c r="D24" s="6" t="n"/>
      <c r="E24" s="11">
        <f>IFERROR(D24/C24,0)</f>
        <v/>
      </c>
      <c r="F24" s="19" t="n"/>
      <c r="G24" s="12">
        <f>IF(F24="","",IF(F24&gt;=1,"완수",IF(F24&gt;=0.9,"정상",IF(F24&gt;=0.7,"주의","경고"))))</f>
        <v/>
      </c>
      <c r="H24" s="6" t="n"/>
      <c r="I24" s="6" t="n"/>
      <c r="J24" s="11">
        <f>IFERROR(I24/H24,0)</f>
        <v/>
      </c>
      <c r="K24" s="1" t="n"/>
      <c r="L24" s="1" t="n"/>
      <c r="M24" s="12">
        <f>IF(B24="","",COUNTIFS($B$5:B24,B24,$G$5:G24,"경고"))</f>
        <v/>
      </c>
    </row>
    <row r="25" ht="21.75" customHeight="1" s="49">
      <c r="A25" s="6" t="n"/>
      <c r="B25" s="6" t="n"/>
      <c r="C25" s="6" t="n"/>
      <c r="D25" s="6" t="n"/>
      <c r="E25" s="11">
        <f>IFERROR(D25/C25,0)</f>
        <v/>
      </c>
      <c r="F25" s="19" t="n"/>
      <c r="G25" s="12">
        <f>IF(F25="","",IF(F25&gt;=1,"완수",IF(F25&gt;=0.9,"정상",IF(F25&gt;=0.7,"주의","경고"))))</f>
        <v/>
      </c>
      <c r="H25" s="6" t="n"/>
      <c r="I25" s="6" t="n"/>
      <c r="J25" s="11">
        <f>IFERROR(I25/H25,0)</f>
        <v/>
      </c>
      <c r="K25" s="1" t="n"/>
      <c r="L25" s="1" t="n"/>
      <c r="M25" s="12">
        <f>IF(B25="","",COUNTIFS($B$5:B25,B25,$G$5:G25,"경고"))</f>
        <v/>
      </c>
    </row>
    <row r="26" ht="21.75" customHeight="1" s="49">
      <c r="A26" s="6" t="n"/>
      <c r="B26" s="6" t="n"/>
      <c r="C26" s="6" t="n"/>
      <c r="D26" s="6" t="n"/>
      <c r="E26" s="11">
        <f>IFERROR(D26/C26,0)</f>
        <v/>
      </c>
      <c r="F26" s="19" t="n"/>
      <c r="G26" s="12">
        <f>IF(F26="","",IF(F26&gt;=1,"완수",IF(F26&gt;=0.9,"정상",IF(F26&gt;=0.7,"주의","경고"))))</f>
        <v/>
      </c>
      <c r="H26" s="6" t="n"/>
      <c r="I26" s="6" t="n"/>
      <c r="J26" s="11">
        <f>IFERROR(I26/H26,0)</f>
        <v/>
      </c>
      <c r="K26" s="1" t="n"/>
      <c r="L26" s="1" t="n"/>
      <c r="M26" s="12">
        <f>IF(B26="","",COUNTIFS($B$5:B26,B26,$G$5:G26,"경고"))</f>
        <v/>
      </c>
    </row>
    <row r="27" ht="21.75" customHeight="1" s="49">
      <c r="A27" s="6" t="n"/>
      <c r="B27" s="6" t="n"/>
      <c r="C27" s="6" t="n"/>
      <c r="D27" s="6" t="n"/>
      <c r="E27" s="11">
        <f>IFERROR(D27/C27,0)</f>
        <v/>
      </c>
      <c r="F27" s="19" t="n"/>
      <c r="G27" s="12">
        <f>IF(F27="","",IF(F27&gt;=1,"완수",IF(F27&gt;=0.9,"정상",IF(F27&gt;=0.7,"주의","경고"))))</f>
        <v/>
      </c>
      <c r="H27" s="6" t="n"/>
      <c r="I27" s="6" t="n"/>
      <c r="J27" s="11">
        <f>IFERROR(I27/H27,0)</f>
        <v/>
      </c>
      <c r="K27" s="1" t="n"/>
      <c r="L27" s="1" t="n"/>
      <c r="M27" s="12">
        <f>IF(B27="","",COUNTIFS($B$5:B27,B27,$G$5:G27,"경고"))</f>
        <v/>
      </c>
    </row>
    <row r="28" ht="21.75" customHeight="1" s="49">
      <c r="A28" s="6" t="n"/>
      <c r="B28" s="6" t="n"/>
      <c r="C28" s="6" t="n"/>
      <c r="D28" s="6" t="n"/>
      <c r="E28" s="11">
        <f>IFERROR(D28/C28,0)</f>
        <v/>
      </c>
      <c r="F28" s="19" t="n"/>
      <c r="G28" s="12">
        <f>IF(F28="","",IF(F28&gt;=1,"완수",IF(F28&gt;=0.9,"정상",IF(F28&gt;=0.7,"주의","경고"))))</f>
        <v/>
      </c>
      <c r="H28" s="6" t="n"/>
      <c r="I28" s="6" t="n"/>
      <c r="J28" s="11">
        <f>IFERROR(I28/H28,0)</f>
        <v/>
      </c>
      <c r="K28" s="1" t="n"/>
      <c r="L28" s="1" t="n"/>
      <c r="M28" s="12">
        <f>IF(B28="","",COUNTIFS($B$5:B28,B28,$G$5:G28,"경고"))</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2026-07-12T17:40:57Z</dcterms:created>
  <dcterms:modified xsi:type="dcterms:W3CDTF">2026-08-09T15:58:08Z</dcterms:modified>
  <cp:lastModifiedBy>서창환</cp:lastModifiedBy>
  <cp:revision>0</cp:revision>
</cp:coreProperties>
</file>