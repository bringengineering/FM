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47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BE-2026-W30-01</t>
        </is>
      </c>
      <c r="D4" s="4" t="inlineStr">
        <is>
          <t>주차</t>
        </is>
      </c>
      <c r="E4" s="47" t="inlineStr">
        <is>
          <t>2026-W30</t>
        </is>
      </c>
      <c r="F4" s="4" t="inlineStr">
        <is>
          <t>대상기간</t>
        </is>
      </c>
      <c r="G4" s="47" t="inlineStr">
        <is>
          <t>07-20(월)~07-24(금)</t>
        </is>
      </c>
      <c r="H4" s="4" t="inlineStr">
        <is>
          <t>보고기한</t>
        </is>
      </c>
      <c r="I4" s="47" t="inlineStr">
        <is>
          <t>07-24(금) 17:00</t>
        </is>
      </c>
      <c r="J4" s="4" t="inlineStr">
        <is>
          <t>접수확인 기한</t>
        </is>
      </c>
      <c r="K4" s="47" t="inlineStr">
        <is>
          <t>07-20(월)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황 우 중</t>
        </is>
      </c>
      <c r="D5" s="35" t="inlineStr">
        <is>
          <t>소속/직무</t>
        </is>
      </c>
      <c r="E5" s="110" t="inlineStr">
        <is>
          <t>연구개발팀 / 하드웨어 설계·제작 담당 주임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TRL 1 연구개발보고서에서 대표가 제1장(기술개발 방향·연구개발 목표)을 확정하였다. 제1장의 최상위 기준은 '노후 소형건축물 입구 1개소'를 초기 적용대상으로 하는 Scan-to-Fit 리트로핏 MVP이며, 표준 프레임+맞춤형 공차보정 연결부, 탈부착형 기능 카세트, BIM–BOM–제작도면 연계, 공장 사전제작·현장 건식설치, FM·Building Passport 연계를 핵심 축으로 한다.
그러나 기존 TRL 1 작성 가이드(제2~11장)에는 방 1개·창호 1~2개 중심 MVP와 센서·창호 중심 표현이 다수 남아 있어, 제1장 확정 방향과 정합되지 않는다.
따라서 이번 주에는 후속 작성의 1차로, 제1장 확정 MVP를 최상위 기준으로 제2장(문제 정의 및 기술 개념)을 전면 작성하고, 제3·4장 작성을 위한 연구가설·시스템 모듈·제품구조·필수 산출물 초안을 확보한다.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제1장에서 확정된 입구 1개소 중심 Scan-to-Fit 리트로핏 MVP를 최상위 기준으로, TRL 1 보고서 제2장을 전면 작성하고 제3·4장 작성을 위한 연구가설·시스템 모듈·제품구조·산출물 초안을 확정한다.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제2장 문제정의·기술개념이 입구 MVP 기준으로 정합되지 않으면, 이후 전 장이 방·창호 중심 표현과 뒤섞여 연구개발보고서 전체 논리가 흔들린다.
또한 문제·원인·기술논리·검증계획의 연결이 확보되지 않으면 TRL 2 개념검증 계획과 1:1 목업·시제품 일정이 연쇄적으로 지연되고, 후속 장의 재작성 부담이 발생한다.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제1장 확정 MVP(입구 1개소·Scan-to-Fit·표준 프레임+맞춤 공차보정 연결부·탈부착 기능 카세트·BIM–BOM–제작도면 연계·공장 사전제작·현장 건식설치·FM/Building Passport) 기준 정합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기존 가이드의 방·창호·외벽 중심 표현을 입구 1개소 MVP 기준으로 최신화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제2장 5개 절(입구·공용부 구조 / 기존 공정 / 기존 기술 한계 / 핵심 문제 / 기술 개념) 전면 작성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핵심 문제문장 1개 확정 및 하위 문제 분해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제3장 연구가설 목록 및 검증방법 초안 작성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제4장 시스템 모듈(5~6개) 정의 및 제품구조·데이터 흐름 초안 작성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제2장 필수 산출물(표·그림) 및 미확인 가정·쟁점 정리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n"/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· 센서·창호·외벽 중심 상세 설계 (후속 확장범위로만 구분 표기)
· 제10장 시장·사업화, 제11장 경제성의 단독 확정 (기술자료·초안 지원까지만)
· 모듈러주택 전체 구조체
· 성능 달성값·정량 절감률 확정 (TRL 2 후보지표로만 제시)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제1장(대표 확정)의 기술개발 방향·연구개발 목표를 최상위 기준으로 삼는다
· TRL 1 수준을 유지한다: 문제 관찰·기술원리 정립·시스템 개념 정의·연구가설 설정·적용/제외조건·후보 성능지표·TRL 2 계획까지만 작성
· '성능 달성·스마트공장 구축·자동설계 완성·원가 절감 완료·센서만으로 원인 확정' 등 달성형 표현 금지
· 첨부 작성 가이드는 참고자료이며, 입구 MVP와 상충하면 입구 MVP를 우선한다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제1장 확정 MVP와 상충하거나 TRL 1 수준을 넘는 작성이 필요하다고 판단되면, 변경 사유·영향을 문서화하여 대표 승인 후 반영한다.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제1장 확정 MVP 기준 정합 및 가이드 최신화</t>
        </is>
      </c>
      <c r="D28" s="47" t="inlineStr">
        <is>
          <t>기존 TRL 1 작성 가이드에 남아 있는 방·창호·외벽 중심 표현을 입구 1개소 MVP 기준으로 전수 식별·수정하고, 초기 MVP와 후속 확장범위를 명확히 구분한다.</t>
        </is>
      </c>
      <c r="E28" s="1" t="inlineStr">
        <is>
          <t>① 가이드 내 방·창호·외벽 중심 표현의 위치를 전수 식별한 목록 작성
② 각 표현을 입구 1개소 MVP 기준으로 수정한 대조표(기존→수정) 작성
③ 초기 MVP / 후속 확장범위(센서·창호·외벽) 구분표 작성
④ 기술 중심축 순서(현장·고객조사→입구 3D실측→As-is BIM→문제분석→To-be 기획→Scan-to-Fit→표준/맞춤 분리→BIM–BOM–제작도면→공장 사전제작→현장 건식설치→검증→FM/Building Passport)를 1개 흐름도로 고정</t>
        </is>
      </c>
      <c r="F28" s="47" t="inlineStr">
        <is>
          <t>01_황우중_MVP정합_가이드최신화_W30_v1.xlsx</t>
        </is>
      </c>
      <c r="G28" s="6" t="inlineStr">
        <is>
          <t>브링 구글 드라이브</t>
        </is>
      </c>
      <c r="H28" s="107" t="inlineStr">
        <is>
          <t>07-21(화) 18:00</t>
        </is>
      </c>
      <c r="I28" s="47" t="inlineStr">
        <is>
          <t>높음</t>
        </is>
      </c>
      <c r="J28" s="114" t="n">
        <v>4</v>
      </c>
      <c r="K28" s="19" t="n">
        <v>0.2</v>
      </c>
    </row>
    <row r="29" ht="123" customHeight="1" s="49">
      <c r="B29" s="17" t="n">
        <v>2</v>
      </c>
      <c r="C29" s="47" t="inlineStr">
        <is>
          <t>제2장 문제 정의 및 기술 개념 전면 작성</t>
        </is>
      </c>
      <c r="D29" s="47" t="inlineStr">
        <is>
          <t>제1장에서 선언한 기술개발 필요성을 입구 리트로핏 현장에서 실제로 발생하는 문제로 구체화하고, 왜 표준제품을 그대로 적용하기 어려운지를 구조적으로 설명한다.</t>
        </is>
      </c>
      <c r="E29" s="1" t="inlineStr">
        <is>
          <t>① 제1절 입구·공용부 구조 분석(구조·간섭요소·체결가능위치 및 표준제품 적용 곤란 근거)
② 제2절 기존 공간기획·실측·제작·설치 공정의 비효율 분석표
③ 제3절 기존 기술 8종 비교표(해결문제/강점/입구적용 한계/브링 보완방향)
④ 제4절 핵심 문제문장 1개 확정 + 하위 7개 문제 분해도
⑤ 제5절 기술 개념 흐름도 작성</t>
        </is>
      </c>
      <c r="F29" s="47" t="inlineStr">
        <is>
          <t>02_황우중_제2장_문제정의_기술개념_W30_v1.pdf</t>
        </is>
      </c>
      <c r="G29" s="6" t="inlineStr">
        <is>
          <t>브링 구글 드라이브</t>
        </is>
      </c>
      <c r="H29" s="107" t="inlineStr">
        <is>
          <t>07-23(목) 18:00</t>
        </is>
      </c>
      <c r="I29" s="47" t="inlineStr">
        <is>
          <t>높음</t>
        </is>
      </c>
      <c r="J29" s="114" t="n">
        <v>12</v>
      </c>
      <c r="K29" s="19" t="n">
        <v>0.3</v>
      </c>
    </row>
    <row r="30" ht="84" customHeight="1" s="49">
      <c r="B30" s="17" t="n">
        <v>3</v>
      </c>
      <c r="C30" s="47" t="inlineStr">
        <is>
          <t>제3장 연구가설 및 개념검증 논리 초안</t>
        </is>
      </c>
      <c r="D30" s="47" t="inlineStr">
        <is>
          <t>각 기술요소가 왜 필요한지 인과관계로 설명하고, 검증 가능한 연구가설로 전환한다.</t>
        </is>
      </c>
      <c r="E30" s="1" t="inlineStr">
        <is>
          <t>① 최소 6개 연구가설 목록(실측·BIM 연계·표준/맞춤 분리·공장 사전조립·탈부착 카세트·Building Passport)
② 가설별 표: 연구가설 / 논리적 근거 / 확인해야 할 데이터 / TRL 2 검증방법 / 예상 산출물
③ 완전주문제작·완전표준화·혼합생산 비교표
④ 기술요소별 필요성 표</t>
        </is>
      </c>
      <c r="F30" s="47" t="inlineStr">
        <is>
          <t>03_황우중_제3장_연구가설_검증초안_W30_v1.xlsx</t>
        </is>
      </c>
      <c r="G30" s="6" t="inlineStr">
        <is>
          <t>브링 구글 드라이브</t>
        </is>
      </c>
      <c r="H30" s="107" t="inlineStr">
        <is>
          <t>07-23(목) 18:00</t>
        </is>
      </c>
      <c r="I30" s="47" t="inlineStr">
        <is>
          <t>높음</t>
        </is>
      </c>
      <c r="J30" s="114" t="n">
        <v>7</v>
      </c>
      <c r="K30" s="19" t="n">
        <v>0.2</v>
      </c>
    </row>
    <row r="31" ht="90" customHeight="1" s="49">
      <c r="B31" s="17" t="n">
        <v>4</v>
      </c>
      <c r="C31" s="47" t="inlineStr">
        <is>
          <t>제4장 시스템 구조 및 제품구조 초안</t>
        </is>
      </c>
      <c r="D31" s="47" t="inlineStr">
        <is>
          <t>TRL 1 수준에서 시스템을 5~6개 모듈로 정리하고, 표준 프레임·맞춤 연결부·기능 카세트로 구성되는 혼합생산형 입구 리트로핏 구조를 개념안으로 도출한다.</t>
        </is>
      </c>
      <c r="E31" s="1" t="inlineStr">
        <is>
          <t>① 5~6개 모듈 정의표(역할/입력/처리/출력/HW/SW/수행주체/초기MVP 포함여부/후속확장)
② 구성방식 6후보 비교표(현장적합성·제작난이도·원가·표준화·운송·설치·탈착·확장성·스마트공장 연계 기준)
③ 최적 구조 선정 근거표(혼합생산형 입구 리트로핏 — 단 TRL 2에서 변경 가능한 개념안으로 표기)
④ 전체 시스템 구성도 + 데이터 흐름도 초안</t>
        </is>
      </c>
      <c r="F31" s="47" t="inlineStr">
        <is>
          <t>04_황우중_제4장_시스템제품구조_초안_W30_v1.pdf</t>
        </is>
      </c>
      <c r="G31" s="108" t="inlineStr">
        <is>
          <t>브링 구글 드라이브</t>
        </is>
      </c>
      <c r="H31" s="107" t="inlineStr">
        <is>
          <t>07-24(금) 15:00</t>
        </is>
      </c>
      <c r="I31" s="47" t="inlineStr">
        <is>
          <t>높음</t>
        </is>
      </c>
      <c r="J31" s="114" t="n">
        <v>8</v>
      </c>
      <c r="K31" s="19" t="n">
        <v>0.2</v>
      </c>
    </row>
    <row r="32" ht="69" customHeight="1" s="49">
      <c r="B32" s="17" t="n">
        <v>5</v>
      </c>
      <c r="C32" s="47" t="inlineStr">
        <is>
          <t>제2장 필수 산출물 패키지 및 미확인 가정·쟁점 정리</t>
        </is>
      </c>
      <c r="D32" s="47" t="inlineStr">
        <is>
          <t>제2장 필수 산출물을 완비하고, TRL 1 단계에서 확정되지 않은 가정과 대표 검토가 필요한 쟁점을 분리하여 정리한다.</t>
        </is>
      </c>
      <c r="E32" s="1" t="inlineStr">
        <is>
          <t>① 제2장 필수 산출물 6종 완비(입구 구조 분류표 / 기존 공정 비효율표 / 기존 기술 비교표 / 핵심 문제 분해도 / 기술개념 흐름도 / 초기 MVP·후속확장 표)
② 확인되지 않은 가정 목록
③ 대표 검토가 필요한 쟁점 목록
④ 용어정의·약어목록 초안</t>
        </is>
      </c>
      <c r="F32" s="47" t="inlineStr">
        <is>
          <t>05_황우중_제2장산출물_쟁점정리_W30_v1.pdf</t>
        </is>
      </c>
      <c r="G32" s="108" t="inlineStr">
        <is>
          <t>브링 구글 드라이브</t>
        </is>
      </c>
      <c r="H32" s="107" t="inlineStr">
        <is>
          <t>07-24(금) 17:00</t>
        </is>
      </c>
      <c r="I32" s="47" t="inlineStr">
        <is>
          <t>보통</t>
        </is>
      </c>
      <c r="J32" s="114" t="n">
        <v>4</v>
      </c>
      <c r="K32" s="19" t="n">
        <v>0.1</v>
      </c>
    </row>
    <row r="33" ht="69" customHeight="1" s="49">
      <c r="B33" s="45" t="inlineStr">
        <is>
          <t>합계</t>
        </is>
      </c>
      <c r="C33" s="51" t="n"/>
      <c r="D33" s="41" t="n"/>
      <c r="E33" s="41" t="n"/>
      <c r="F33" s="41" t="n"/>
      <c r="G33" s="41" t="n"/>
      <c r="H33" s="41" t="n"/>
      <c r="I33" s="42" t="n"/>
      <c r="J33" s="115">
        <f>SUM(J28:J32)</f>
        <v/>
      </c>
      <c r="K33" s="21">
        <f>SUM(K28:K32)</f>
        <v/>
      </c>
    </row>
    <row r="34" ht="24" customHeight="1" s="49">
      <c r="B34" s="45" t="inlineStr">
        <is>
          <t>발행 검증</t>
        </is>
      </c>
      <c r="C34" s="116">
        <f>IF(COUNTA(C28:C32)=0,"업무 미입력",IF(COUNTA(E28:E32)&lt;COUNTA(C28:C32),"발행 불가 — 완료기준 누락 업무 있음",IF(COUNTA(F28:F32)&lt;COUNTA(C28:C32),"발행 불가 — 산출물 누락 업무 있음",IF(SUM(K28:K32)&lt;&gt;1,"발행 불가 — 가중치 합계 "&amp;TEXT(SUM(K28:K32),"0%")&amp;" (100% 필요)","발행 가능 — 완료기준·산출물·가중치 충족"))))</f>
        <v/>
      </c>
      <c r="D34" s="41" t="n"/>
      <c r="E34" s="41" t="n"/>
      <c r="F34" s="41" t="n"/>
      <c r="G34" s="41" t="n"/>
      <c r="H34" s="41" t="n"/>
      <c r="I34" s="41" t="n"/>
      <c r="J34" s="41" t="n"/>
      <c r="K34" s="42" t="n"/>
    </row>
    <row r="35" ht="24" customHeight="1" s="49"/>
    <row r="36" ht="24" customHeight="1" s="49"/>
    <row r="37" ht="18" customHeight="1" s="49">
      <c r="B37" s="89" t="inlineStr">
        <is>
          <t>담당자 접수확인  —  월요일 12:00까지 담당자 직접 작성 (미작성 = 업무 미이해로 간주, 재지시)</t>
        </is>
      </c>
      <c r="C37" s="64" t="n"/>
      <c r="D37" s="64" t="n"/>
      <c r="E37" s="64" t="n"/>
      <c r="F37" s="64" t="n"/>
      <c r="G37" s="64" t="n"/>
      <c r="H37" s="64" t="n"/>
      <c r="I37" s="64" t="n"/>
      <c r="J37" s="64" t="n"/>
      <c r="K37" s="64" t="n"/>
    </row>
    <row r="38" ht="36" customHeight="1" s="49">
      <c r="B38" s="45" t="inlineStr">
        <is>
          <t>내가 이해한 업무
(본인 언어로 재작성)</t>
        </is>
      </c>
      <c r="C38" s="117" t="n"/>
      <c r="D38" s="41" t="n"/>
      <c r="E38" s="41" t="n"/>
      <c r="F38" s="41" t="n"/>
      <c r="G38" s="41" t="n"/>
      <c r="H38" s="41" t="n"/>
      <c r="I38" s="41" t="n"/>
      <c r="J38" s="41" t="n"/>
      <c r="K38" s="42" t="n"/>
    </row>
    <row r="39" ht="19.5" customHeight="1" s="49">
      <c r="B39" s="45" t="inlineStr">
        <is>
          <t>완료기준 재확인
(무엇이 되면 끝인가)</t>
        </is>
      </c>
      <c r="C39" s="118" t="n"/>
      <c r="D39" s="41" t="n"/>
      <c r="E39" s="41" t="n"/>
      <c r="F39" s="41" t="n"/>
      <c r="G39" s="41" t="n"/>
      <c r="H39" s="41" t="n"/>
      <c r="I39" s="41" t="n"/>
      <c r="J39" s="41" t="n"/>
      <c r="K39" s="42" t="n"/>
    </row>
    <row r="40" ht="24" customHeight="1" s="49">
      <c r="B40" s="45" t="inlineStr">
        <is>
          <t>예상 리스크
(막힐 것 같은 지점)</t>
        </is>
      </c>
      <c r="C40" s="43" t="n"/>
      <c r="D40" s="41" t="n"/>
      <c r="E40" s="41" t="n"/>
      <c r="F40" s="41" t="n"/>
      <c r="G40" s="41" t="n"/>
      <c r="H40" s="41" t="n"/>
      <c r="I40" s="41" t="n"/>
      <c r="J40" s="41" t="n"/>
      <c r="K40" s="42" t="n"/>
    </row>
    <row r="41" ht="24" customHeight="1" s="49">
      <c r="B41" s="45" t="inlineStr">
        <is>
          <t>필요한 지원·의사결정</t>
        </is>
      </c>
      <c r="C41" s="43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24" customHeight="1" s="49">
      <c r="B42" s="45" t="inlineStr">
        <is>
          <t>실행 계획 (요일 배분)</t>
        </is>
      </c>
      <c r="C42" s="43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접수 확인 일시 / 서명</t>
        </is>
      </c>
      <c r="C43" s="47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/>
    <row r="45" ht="24" customHeight="1" s="49">
      <c r="B45" s="4" t="inlineStr">
        <is>
          <t>결   재</t>
        </is>
      </c>
      <c r="C45" s="41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구분</t>
        </is>
      </c>
      <c r="C46" s="45" t="inlineStr">
        <is>
          <t>작성 (지시자)</t>
        </is>
      </c>
      <c r="D46" s="42" t="n"/>
      <c r="E46" s="45" t="inlineStr">
        <is>
          <t>검토 (검수자)</t>
        </is>
      </c>
      <c r="F46" s="42" t="n"/>
      <c r="G46" s="45" t="inlineStr">
        <is>
          <t>승인 (대표)</t>
        </is>
      </c>
      <c r="H46" s="42" t="n"/>
      <c r="I46" s="45" t="inlineStr">
        <is>
          <t>접수 (담당자)</t>
        </is>
      </c>
      <c r="J46" s="42" t="n"/>
      <c r="K46" s="45" t="inlineStr">
        <is>
          <t>일자</t>
        </is>
      </c>
    </row>
    <row r="47">
      <c r="B47" s="45" t="inlineStr">
        <is>
          <t>서명</t>
        </is>
      </c>
      <c r="C47" s="47" t="inlineStr">
        <is>
          <t>서 창 환</t>
        </is>
      </c>
      <c r="D47" s="42" t="n"/>
      <c r="E47" s="47" t="inlineStr">
        <is>
          <t>서 창 환</t>
        </is>
      </c>
      <c r="F47" s="42" t="n"/>
      <c r="G47" s="47" t="inlineStr">
        <is>
          <t>서 창 환</t>
        </is>
      </c>
      <c r="H47" s="42" t="n"/>
      <c r="I47" s="47" t="inlineStr">
        <is>
          <t>황 우 중</t>
        </is>
      </c>
      <c r="J47" s="42" t="n"/>
      <c r="K47" s="109" t="inlineStr">
        <is>
          <t>2026-07-20</t>
        </is>
      </c>
    </row>
    <row r="48" ht="19.5" customHeight="1" s="49"/>
    <row r="49" ht="21.75" customHeight="1" s="49"/>
    <row r="50" ht="21.75" customHeight="1" s="49"/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10:K10"/>
    <mergeCell ref="C41:K41"/>
    <mergeCell ref="C15:J15"/>
    <mergeCell ref="I46:J46"/>
    <mergeCell ref="C24:J24"/>
    <mergeCell ref="C40:K40"/>
    <mergeCell ref="C9:K9"/>
    <mergeCell ref="C14:J14"/>
    <mergeCell ref="C43:K43"/>
    <mergeCell ref="B45:K45"/>
    <mergeCell ref="C47:D47"/>
    <mergeCell ref="I47:J47"/>
    <mergeCell ref="C20:J20"/>
    <mergeCell ref="B26:K26"/>
    <mergeCell ref="C16:J16"/>
    <mergeCell ref="B7:K7"/>
    <mergeCell ref="C39:K39"/>
    <mergeCell ref="C8:K8"/>
    <mergeCell ref="C22:J22"/>
    <mergeCell ref="C33:I33"/>
    <mergeCell ref="B14:B21"/>
    <mergeCell ref="C38:K38"/>
    <mergeCell ref="C46:D46"/>
    <mergeCell ref="C21:J21"/>
    <mergeCell ref="E46:F46"/>
    <mergeCell ref="B12:K12"/>
    <mergeCell ref="B2:K2"/>
    <mergeCell ref="C34:K34"/>
    <mergeCell ref="C23:J23"/>
    <mergeCell ref="C17:J17"/>
    <mergeCell ref="B1:K1"/>
    <mergeCell ref="G47:H47"/>
    <mergeCell ref="C42:K42"/>
    <mergeCell ref="G46:H46"/>
    <mergeCell ref="C19:J19"/>
    <mergeCell ref="C13:J13"/>
    <mergeCell ref="C18:J18"/>
    <mergeCell ref="E47:F47"/>
    <mergeCell ref="B37:K37"/>
  </mergeCells>
  <dataValidations count="1">
    <dataValidation sqref="I28:I32" showDropDown="0" showInputMessage="0" showErrorMessage="0" allowBlank="1" type="list">
      <formula1>"높음,보통,낮음"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7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SUMPRODUCT(F12:F16,H12:H16)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SUM('01_업무지시서'!J28:J32)</f>
        <v/>
      </c>
      <c r="I5" s="4" t="inlineStr">
        <is>
          <t>실제 h</t>
        </is>
      </c>
      <c r="J5" s="119">
        <f>SUM(I12:I16)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15" customHeight="1" s="49">
      <c r="C17" s="45" t="inlineStr">
        <is>
          <t>합계</t>
        </is>
      </c>
      <c r="D17" s="45" t="inlineStr">
        <is>
          <t>가중 달성률 →</t>
        </is>
      </c>
      <c r="E17" s="42" t="n"/>
      <c r="F17" s="21">
        <f>SUM(F12:F16)</f>
        <v/>
      </c>
      <c r="G17" s="28">
        <f>SUMPRODUCT(F12:F16,H12:H16)</f>
        <v/>
      </c>
      <c r="H17" s="29">
        <f>COUNTIF(G12:G16,"완료")</f>
        <v/>
      </c>
      <c r="I17" s="115">
        <f>SUM(I12:I16)</f>
        <v/>
      </c>
      <c r="J17" s="69">
        <f>"완료 "&amp;COUNTIF(G12:G16,"완료")&amp;"건 / 진행중 "&amp;COUNTIF(G12:G16,"진행중")&amp;"건 / 미착수 "&amp;COUNTIF(G12:G16,"미착수")&amp;"건"</f>
        <v/>
      </c>
      <c r="K17" s="41" t="n"/>
      <c r="L17" s="42" t="n"/>
    </row>
    <row r="18" ht="24" customHeight="1" s="49">
      <c r="C18" s="46" t="n"/>
      <c r="D18" s="46" t="n"/>
      <c r="I18" s="46" t="n"/>
      <c r="J18" s="46" t="n"/>
      <c r="L18" s="46" t="n"/>
    </row>
    <row r="19" ht="19.5" customHeight="1" s="49">
      <c r="C19" s="121" t="inlineStr">
        <is>
          <t>2. 자가 검수  —  제출 전 §4 검수기준으로 본인이 먼저 점검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5" t="n"/>
    </row>
    <row r="20" ht="24" customHeight="1" s="49">
      <c r="C20" s="46" t="inlineStr">
        <is>
          <t>검수 항목 (자동)</t>
        </is>
      </c>
      <c r="D20" s="46" t="inlineStr">
        <is>
          <t>검수 질문 (자동)</t>
        </is>
      </c>
      <c r="E20" s="41" t="n"/>
      <c r="F20" s="41" t="n"/>
      <c r="G20" s="41" t="n"/>
      <c r="H20" s="42" t="n"/>
      <c r="I20" s="46" t="inlineStr">
        <is>
          <t>자가
판정</t>
        </is>
      </c>
      <c r="J20" s="46" t="inlineStr">
        <is>
          <t>미충족 사유·보완 계획</t>
        </is>
      </c>
      <c r="K20" s="42" t="n"/>
      <c r="L20" s="46" t="inlineStr">
        <is>
          <t>검수자
판정</t>
        </is>
      </c>
    </row>
    <row r="21" ht="24" customHeight="1" s="49">
      <c r="C21" s="69" t="n"/>
      <c r="D21" s="55" t="n"/>
      <c r="E21" s="41" t="n"/>
      <c r="F21" s="41" t="n"/>
      <c r="G21" s="41" t="n"/>
      <c r="H21" s="42" t="n"/>
      <c r="I21" s="47" t="n"/>
      <c r="J21" s="44" t="n"/>
      <c r="K21" s="42" t="n"/>
      <c r="L21" s="66" t="n"/>
    </row>
    <row r="22" ht="24" customHeight="1" s="49">
      <c r="C22" s="69" t="n"/>
      <c r="D22" s="55" t="n"/>
      <c r="E22" s="41" t="n"/>
      <c r="F22" s="41" t="n"/>
      <c r="G22" s="41" t="n"/>
      <c r="H22" s="42" t="n"/>
      <c r="I22" s="47" t="n"/>
      <c r="J22" s="44" t="n"/>
      <c r="K22" s="42" t="n"/>
      <c r="L22" s="66" t="n"/>
    </row>
    <row r="23" ht="24" customHeight="1" s="49">
      <c r="C23" s="69" t="n"/>
      <c r="D23" s="55" t="n"/>
      <c r="E23" s="41" t="n"/>
      <c r="F23" s="41" t="n"/>
      <c r="G23" s="41" t="n"/>
      <c r="H23" s="42" t="n"/>
      <c r="I23" s="47" t="n"/>
      <c r="J23" s="44" t="n"/>
      <c r="K23" s="42" t="n"/>
      <c r="L23" s="66" t="n"/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7.75" customHeight="1" s="49"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</row>
    <row r="29" ht="19.5" customHeight="1" s="49">
      <c r="C29" s="121" t="inlineStr">
        <is>
          <t>3. 이슈 및 지원요청  —  대안 없이 문제만 올리는 보고는 반려</t>
        </is>
      </c>
      <c r="D29" s="64" t="n"/>
      <c r="E29" s="64" t="n"/>
      <c r="F29" s="64" t="n"/>
      <c r="G29" s="64" t="n"/>
      <c r="H29" s="64" t="n"/>
      <c r="I29" s="64" t="n"/>
      <c r="J29" s="64" t="n"/>
      <c r="K29" s="64" t="n"/>
      <c r="L29" s="65" t="n"/>
    </row>
    <row r="30" ht="27.75" customHeight="1" s="49">
      <c r="C30" s="46" t="inlineStr">
        <is>
          <t>구분</t>
        </is>
      </c>
      <c r="D30" s="46" t="inlineStr">
        <is>
          <t>이슈 내용</t>
        </is>
      </c>
      <c r="E30" s="46" t="inlineStr">
        <is>
          <t>영향
(일정/비용/품질)</t>
        </is>
      </c>
      <c r="F30" s="46" t="inlineStr">
        <is>
          <t>근본 원인</t>
        </is>
      </c>
      <c r="G30" s="46" t="inlineStr">
        <is>
          <t>대안 1</t>
        </is>
      </c>
      <c r="H30" s="46" t="inlineStr">
        <is>
          <t>대안 2</t>
        </is>
      </c>
      <c r="I30" s="46" t="inlineStr">
        <is>
          <t>권고안</t>
        </is>
      </c>
      <c r="J30" s="46" t="inlineStr">
        <is>
          <t>요청사항</t>
        </is>
      </c>
      <c r="K30" s="46" t="inlineStr">
        <is>
          <t>결정기한</t>
        </is>
      </c>
      <c r="L30" s="46" t="inlineStr">
        <is>
          <t>대표 결정</t>
        </is>
      </c>
    </row>
    <row r="31" ht="36" customHeight="1" s="49">
      <c r="C31" s="6" t="n"/>
      <c r="D31" s="18" t="n"/>
      <c r="E31" s="6" t="n"/>
      <c r="F31" s="18" t="n"/>
      <c r="G31" s="18" t="n"/>
      <c r="H31" s="18" t="n"/>
      <c r="I31" s="18" t="n"/>
      <c r="J31" s="18" t="n"/>
      <c r="K31" s="6" t="n"/>
      <c r="L31" s="66" t="n"/>
    </row>
    <row r="32" ht="36" customHeight="1" s="49">
      <c r="C32" s="6" t="n"/>
      <c r="D32" s="18" t="n"/>
      <c r="E32" s="6" t="n"/>
      <c r="F32" s="18" t="n"/>
      <c r="G32" s="18" t="n"/>
      <c r="H32" s="18" t="n"/>
      <c r="I32" s="18" t="n"/>
      <c r="J32" s="18" t="n"/>
      <c r="K32" s="6" t="n"/>
      <c r="L32" s="66" t="n"/>
    </row>
    <row r="33" ht="36" customHeight="1" s="49">
      <c r="C33" s="6" t="n"/>
      <c r="D33" s="18" t="n"/>
      <c r="E33" s="6" t="n"/>
      <c r="F33" s="18" t="n"/>
      <c r="G33" s="18" t="n"/>
      <c r="H33" s="18" t="n"/>
      <c r="I33" s="18" t="n"/>
      <c r="J33" s="18" t="n"/>
      <c r="K33" s="6" t="n"/>
      <c r="L33" s="66" t="n"/>
    </row>
    <row r="34" ht="27.75" customHeight="1" s="49">
      <c r="C34" s="13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</row>
    <row r="35" ht="19.5" customHeight="1" s="49">
      <c r="C35" s="121" t="inlineStr">
        <is>
          <t>4. 다음 주 제안 업무  —  지시를 기다리지 말 것. 본인이 먼저 제안.</t>
        </is>
      </c>
      <c r="D35" s="64" t="n"/>
      <c r="E35" s="64" t="n"/>
      <c r="F35" s="64" t="n"/>
      <c r="G35" s="64" t="n"/>
      <c r="H35" s="64" t="n"/>
      <c r="I35" s="64" t="n"/>
      <c r="J35" s="64" t="n"/>
      <c r="K35" s="64" t="n"/>
      <c r="L35" s="65" t="n"/>
    </row>
    <row r="36" ht="27.75" customHeight="1" s="49">
      <c r="C36" s="13" t="inlineStr">
        <is>
          <t>No</t>
        </is>
      </c>
      <c r="D36" s="46" t="inlineStr">
        <is>
          <t>제안 업무</t>
        </is>
      </c>
      <c r="E36" s="46" t="inlineStr">
        <is>
          <t>왜 해야 하는가</t>
        </is>
      </c>
      <c r="F36" s="46" t="inlineStr">
        <is>
          <t>완료기준(안)</t>
        </is>
      </c>
      <c r="G36" s="46" t="inlineStr">
        <is>
          <t>예상
소요(h)</t>
        </is>
      </c>
      <c r="H36" s="46" t="inlineStr">
        <is>
          <t>우선순위(안)</t>
        </is>
      </c>
      <c r="I36" s="46" t="inlineStr">
        <is>
          <t>선행 조건</t>
        </is>
      </c>
      <c r="J36" s="46" t="inlineStr">
        <is>
          <t>필요 지원</t>
        </is>
      </c>
      <c r="K36" s="46" t="inlineStr">
        <is>
          <t>대표 승인</t>
        </is>
      </c>
      <c r="L36" s="46" t="inlineStr">
        <is>
          <t>비고</t>
        </is>
      </c>
    </row>
    <row r="37" ht="31.5" customHeight="1" s="49">
      <c r="C37" s="22" t="n">
        <v>1</v>
      </c>
      <c r="D37" s="18" t="n"/>
      <c r="E37" s="18" t="n"/>
      <c r="F37" s="18" t="n"/>
      <c r="G37" s="114" t="n"/>
      <c r="H37" s="6" t="n"/>
      <c r="I37" s="18" t="n"/>
      <c r="J37" s="18" t="n"/>
      <c r="K37" s="66" t="n"/>
      <c r="L37" s="6" t="n"/>
    </row>
    <row r="38" ht="31.5" customHeight="1" s="49">
      <c r="C38" s="22" t="n">
        <v>2</v>
      </c>
      <c r="D38" s="18" t="n"/>
      <c r="E38" s="18" t="n"/>
      <c r="F38" s="18" t="n"/>
      <c r="G38" s="114" t="n"/>
      <c r="H38" s="6" t="n"/>
      <c r="I38" s="18" t="n"/>
      <c r="J38" s="18" t="n"/>
      <c r="K38" s="66" t="n"/>
      <c r="L38" s="6" t="n"/>
    </row>
    <row r="39" ht="31.5" customHeight="1" s="49">
      <c r="C39" s="22" t="n">
        <v>3</v>
      </c>
      <c r="D39" s="18" t="n"/>
      <c r="E39" s="18" t="n"/>
      <c r="F39" s="18" t="n"/>
      <c r="G39" s="114" t="n"/>
      <c r="H39" s="6" t="n"/>
      <c r="I39" s="18" t="n"/>
      <c r="J39" s="18" t="n"/>
      <c r="K39" s="66" t="n"/>
      <c r="L39" s="6" t="n"/>
    </row>
    <row r="40" ht="31.5" customHeight="1" s="49">
      <c r="C40" s="22" t="n">
        <v>4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25.5" customHeight="1" s="49">
      <c r="C41" s="45" t="n"/>
      <c r="D41" s="43" t="n"/>
      <c r="J41" s="58" t="n"/>
    </row>
    <row r="42" ht="19.5" customHeight="1" s="49">
      <c r="C42" s="48" t="inlineStr">
        <is>
          <t>5. 자기점검 및 대표 검수</t>
        </is>
      </c>
    </row>
    <row r="43" ht="25.5" customHeight="1" s="49">
      <c r="C43" s="45" t="inlineStr">
        <is>
          <t>이번 주 가장 잘한 것</t>
        </is>
      </c>
      <c r="D43" s="43" t="inlineStr">
        <is>
          <t>결과로 증명되는 것 1개만</t>
        </is>
      </c>
      <c r="E43" s="41" t="n"/>
      <c r="F43" s="41" t="n"/>
      <c r="G43" s="41" t="n"/>
      <c r="H43" s="41" t="n"/>
      <c r="I43" s="42" t="n"/>
      <c r="J43" s="58" t="inlineStr">
        <is>
          <t>[대표 검수 의견]</t>
        </is>
      </c>
      <c r="K43" s="59" t="n"/>
      <c r="L43" s="60" t="n"/>
    </row>
    <row r="44" ht="25.5" customHeight="1" s="49">
      <c r="C44" s="45" t="inlineStr">
        <is>
          <t>이번 주 가장 부족한 것</t>
        </is>
      </c>
      <c r="D44" s="43" t="inlineStr">
        <is>
          <t>변명 말고 사실만</t>
        </is>
      </c>
      <c r="E44" s="41" t="n"/>
      <c r="F44" s="41" t="n"/>
      <c r="G44" s="41" t="n"/>
      <c r="H44" s="41" t="n"/>
      <c r="I44" s="42" t="n"/>
      <c r="J44" s="61" t="n"/>
      <c r="L44" s="62" t="n"/>
    </row>
    <row r="45" ht="25.5" customHeight="1" s="49">
      <c r="C45" s="45" t="inlineStr">
        <is>
          <t>다음 주 개선 액션 1개</t>
        </is>
      </c>
      <c r="D45" s="43" t="inlineStr">
        <is>
          <t>실행 가능한 행동으로</t>
        </is>
      </c>
      <c r="E45" s="41" t="n"/>
      <c r="F45" s="41" t="n"/>
      <c r="G45" s="41" t="n"/>
      <c r="H45" s="41" t="n"/>
      <c r="I45" s="42" t="n"/>
      <c r="J45" s="63" t="n"/>
      <c r="K45" s="64" t="n"/>
      <c r="L45" s="65" t="n"/>
    </row>
    <row r="47" ht="33.75" customHeight="1" s="49">
      <c r="C47" s="45" t="inlineStr">
        <is>
          <t>제출자</t>
        </is>
      </c>
      <c r="D47" s="47" t="n"/>
      <c r="E47" s="41" t="n"/>
      <c r="F47" s="42" t="n"/>
      <c r="G47" s="45" t="inlineStr">
        <is>
          <t>검수자</t>
        </is>
      </c>
      <c r="H47" s="66" t="n"/>
      <c r="I47" s="42" t="n"/>
      <c r="J47" s="45" t="inlineStr">
        <is>
          <t>최종 판정</t>
        </is>
      </c>
      <c r="K47" s="56" t="n"/>
      <c r="L47" s="42" t="n"/>
    </row>
  </sheetData>
  <mergeCells count="34">
    <mergeCell ref="D20:H20"/>
    <mergeCell ref="D22:H22"/>
    <mergeCell ref="D47:F47"/>
    <mergeCell ref="D7:L7"/>
    <mergeCell ref="D43:I43"/>
    <mergeCell ref="C19:L19"/>
    <mergeCell ref="D21:H21"/>
    <mergeCell ref="K47:L47"/>
    <mergeCell ref="J24:K24"/>
    <mergeCell ref="D27:H27"/>
    <mergeCell ref="J27:K27"/>
    <mergeCell ref="C42:L42"/>
    <mergeCell ref="D17:E17"/>
    <mergeCell ref="J26:K26"/>
    <mergeCell ref="J20:K20"/>
    <mergeCell ref="J25:K25"/>
    <mergeCell ref="C29:L29"/>
    <mergeCell ref="C35:L35"/>
    <mergeCell ref="J43:L45"/>
    <mergeCell ref="J17:L17"/>
    <mergeCell ref="D44:I44"/>
    <mergeCell ref="J22:K22"/>
    <mergeCell ref="H47:I47"/>
    <mergeCell ref="C1:L1"/>
    <mergeCell ref="J21:K21"/>
    <mergeCell ref="D25:H25"/>
    <mergeCell ref="C9:L9"/>
    <mergeCell ref="D24:H24"/>
    <mergeCell ref="D45:I45"/>
    <mergeCell ref="D23:H23"/>
    <mergeCell ref="J23:K23"/>
    <mergeCell ref="C2:L2"/>
    <mergeCell ref="D6:L6"/>
    <mergeCell ref="D26:H26"/>
  </mergeCells>
  <dataValidations count="5">
    <dataValidation sqref="I21:I27" showDropDown="0" showInputMessage="0" showErrorMessage="0" allowBlank="1" type="list">
      <formula1>"충족,미충족"</formula1>
    </dataValidation>
    <dataValidation sqref="L21:L27" showDropDown="0" showInputMessage="0" showErrorMessage="0" allowBlank="1" type="list">
      <formula1>"합격,보완,불합격"</formula1>
    </dataValidation>
    <dataValidation sqref="K37:K40 L31:L33" showDropDown="0" showInputMessage="0" showErrorMessage="0" allowBlank="1" type="list">
      <formula1>"승인,보류,반려"</formula1>
    </dataValidation>
    <dataValidation sqref="K47" showDropDown="0" showInputMessage="0" showErrorMessage="0" allowBlank="1" type="list">
      <formula1>"합격,조건부합격,보완요청,불합격"</formula1>
    </dataValidation>
    <dataValidation sqref="G12:G16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2026-07-19T09:51:34Z</dcterms:modified>
  <cp:lastModifiedBy>서창환</cp:lastModifiedBy>
  <cp:revision>0</cp:revision>
</cp:coreProperties>
</file>