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52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BE-2026-W30-01</t>
        </is>
      </c>
      <c r="D4" s="4" t="inlineStr">
        <is>
          <t>주차</t>
        </is>
      </c>
      <c r="E4" s="47" t="inlineStr">
        <is>
          <t>2026-W30</t>
        </is>
      </c>
      <c r="F4" s="4" t="inlineStr">
        <is>
          <t>대상기간</t>
        </is>
      </c>
      <c r="G4" s="47" t="inlineStr">
        <is>
          <t>07-20(월)~07-24(금)</t>
        </is>
      </c>
      <c r="H4" s="4" t="inlineStr">
        <is>
          <t>보고기한</t>
        </is>
      </c>
      <c r="I4" s="47" t="inlineStr">
        <is>
          <t>07-24(금) 17:00</t>
        </is>
      </c>
      <c r="J4" s="4" t="inlineStr">
        <is>
          <t>접수확인 기한</t>
        </is>
      </c>
      <c r="K4" s="47" t="inlineStr">
        <is>
          <t>07-20(월)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황 우 중</t>
        </is>
      </c>
      <c r="D5" s="35" t="inlineStr">
        <is>
          <t>소속/직무</t>
        </is>
      </c>
      <c r="E5" s="110" t="inlineStr">
        <is>
          <t>연구개발팀 / 하드웨어 설계·제작 담당 주임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TRL 1 연구개발보고서에서 대표가 제1장(기술개발 방향·연구개발 목표)을 확정하였다. 제1장의 최상위 기준은 '노후 소형건축물 입구 1개소'를 초기 적용대상으로 하는 Scan-to-Fit 리트로핏 MVP이며, 표준 프레임+맞춤형 공차보정 연결부, 탈부착형 기능 카세트, BIM–BOM–제작도면 연계, 공장 사전제작·현장 건식설치, FM·Building Passport 연계를 핵심 축으로 한다.
기존 TRL 1 작성 가이드(제2~11장)에는 방 1개·창호 1~2개 중심 MVP와 센서·창호 중심 표현이 다수 남아 있어 제1장 확정 방향과 정합되지 않는다.
따라서 이번 주에는 후속 작성의 1차로, 제1장 확정 MVP를 최상위 기준으로 제2장(문제 정의 및 기술 개념)을 절 단위로 전면 작성하고, 제3·4장 작성을 위한 연구가설·시스템 모듈·제품구조·필수 산출물 초안을 확보한다.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제1장에서 확정된 입구 1개소 중심 Scan-to-Fit 리트로핏 MVP를 최상위 기준으로, TRL 1 보고서 제2장을 절 단위로 전면 작성하고 제3·4장 작성을 위한 연구가설·시스템 모듈·제품구조·산출물 초안을 확정한다.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제2장 문제정의·기술개념이 입구 MVP 기준으로 정합되지 않으면 이후 전 장이 방·창호 중심 표현과 뒤섞여 연구개발보고서 전체 논리가 흔들린다.
또한 문제·원인·기술논리·검증계획의 연결이 확보되지 않으면 TRL 2 개념검증 계획과 1:1 목업·시제품 일정이 연쇄적으로 지연되고 후속 장의 재작성 부담이 발생한다.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제1장 확정 MVP(입구 1개소·Scan-to-Fit·표준 프레임+맞춤 공차보정 연결부·탈부착 기능 카세트·BIM–BOM–제작도면 연계·공장 사전제작·현장 건식설치·FM/Building Passport) 기준 정합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기존 가이드의 방·창호·외벽 중심 표현을 입구 1개소 MVP 기준으로 최신화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제2장 5개 절을 절 단위로 각각 전면 작성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핵심 문제문장 1개 확정 및 하위 문제 분해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제3장 연구가설 목록 및 검증방법 초안 작성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제4장 시스템 모듈(5~6개) 정의·구성방식 비교·제품구조·데이터 흐름 초안 작성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inlineStr">
        <is>
          <t>제2장 필수 산출물(표·그림) 및 미확인 가정·대표 검토 쟁점·용어/약어 정리</t>
        </is>
      </c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n"/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· 센서·창호·외벽 중심 상세 설계 (후속 확장범위로만 구분 표기)
· 제10장 시장·사업화, 제11장 경제성의 단독 확정 (기술자료·초안 지원까지만)
· 모듈러주택 전체 구조체
· 성능 달성값·정량 절감률 확정 (TRL 2 후보지표로만 제시)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제1장(대표 확정)의 기술개발 방향·연구개발 목표를 최상위 기준으로 삼는다
· TRL 1 수준 유지: 문제 관찰·기술원리 정립·시스템 개념 정의·연구가설 설정·적용/제외조건·후보 성능지표·TRL 2 계획까지만 작성
· '성능 달성·스마트공장 구축·자동설계 완성·원가 절감 완료·센서만으로 원인 확정' 등 달성형 표현 금지
· 서술은 □핵심주제/○세부주제/•현황·원인·기술필요성·대응방향·TRL1 정립사항 구조로 작성
· 첨부 작성 가이드는 참고자료이며 입구 MVP와 상충 시 입구 MVP 우선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제1장 확정 MVP와 상충하거나 TRL 1 수준을 넘는 작성이 필요하다고 판단되면 변경 사유·영향을 문서화하여 대표 승인 후 반영한다.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제1장 확정 MVP 기준 정합 및 가이드 최신화</t>
        </is>
      </c>
      <c r="D28" s="47" t="inlineStr">
        <is>
          <t>기존 TRL 1 작성 가이드의 방·창호·외벽 중심 표현을 입구 1개소 MVP 기준으로 전수 식별·수정하고 초기 MVP와 후속 확장범위를 구분한다.</t>
        </is>
      </c>
      <c r="E28" s="1" t="inlineStr">
        <is>
          <t>① 가이드 내 방·창호·외벽 중심 표현 위치 전수 식별 목록
② 기존→수정 대조표(입구 1개소 MVP 기준)
③ 초기 MVP / 후속 확장범위(센서·창호·외벽) 구분표
④ 기술 중심축 순서(현장·고객조사→입구 3D실측→As-is BIM→문제분석→To-be 기획→Scan-to-Fit→표준/맞춤 분리→BIM–BOM–제작도면→공장 사전제작→현장 건식설치→검증→FM/Building Passport) 흐름도 1개</t>
        </is>
      </c>
      <c r="F28" s="47" t="inlineStr">
        <is>
          <t>01_황우중_MVP정합_가이드최신화_W30_v1.xlsx</t>
        </is>
      </c>
      <c r="G28" s="6" t="inlineStr">
        <is>
          <t>브링 구글 드라이브</t>
        </is>
      </c>
      <c r="H28" s="107" t="inlineStr">
        <is>
          <t>07-21(화) 12:00</t>
        </is>
      </c>
      <c r="I28" s="47" t="inlineStr">
        <is>
          <t>높음</t>
        </is>
      </c>
      <c r="J28" s="114" t="n">
        <v>3</v>
      </c>
      <c r="K28" s="19" t="n">
        <v>0.1</v>
      </c>
    </row>
    <row r="29" ht="123" customHeight="1" s="49">
      <c r="B29" s="17" t="n">
        <v>2</v>
      </c>
      <c r="C29" s="47" t="inlineStr">
        <is>
          <t>제2장 1절 — 노후건축물 입구·공용부 구조 분석</t>
        </is>
      </c>
      <c r="D29" s="47" t="inlineStr">
        <is>
          <t>노후 소형건축물 입구·공용부의 구조와 간섭요소를 분석하고, 왜 표준제품을 그대로 적용하기 어려운지를 구조적으로 설명한다.</t>
        </is>
      </c>
      <c r="E29" s="1" t="inlineStr">
        <is>
          <t>① 입구 구성요소(벽체·바닥·천장·출입문·계단·캐노피·공용설비) 분류표
② 벽면 요철·바닥 경사·단차·벽체 기울기 등 시공오차 요인 정리
③ 배관·배선·계량기·실외기 등 간섭요소 및 구조체 체결 가능 위치 정리
④ 표준제품 직접 적용이 어려운 근거를 구조적으로 서술 + 운반·반입·조립 영향 조건</t>
        </is>
      </c>
      <c r="F29" s="47" t="inlineStr">
        <is>
          <t>02_황우중_2장1절_입구구조분석_W30_v1.pdf</t>
        </is>
      </c>
      <c r="G29" s="6" t="inlineStr">
        <is>
          <t>브링 구글 드라이브</t>
        </is>
      </c>
      <c r="H29" s="107" t="inlineStr">
        <is>
          <t>07-21(화) 18:00</t>
        </is>
      </c>
      <c r="I29" s="47" t="inlineStr">
        <is>
          <t>높음</t>
        </is>
      </c>
      <c r="J29" s="114" t="n">
        <v>4</v>
      </c>
      <c r="K29" s="19" t="n">
        <v>0.1</v>
      </c>
    </row>
    <row r="30" ht="84" customHeight="1" s="49">
      <c r="B30" s="17" t="n">
        <v>3</v>
      </c>
      <c r="C30" s="47" t="inlineStr">
        <is>
          <t>제2장 2절 — 기존 공간기획·실측·제작·설치 공정 분석</t>
        </is>
      </c>
      <c r="D30" s="47" t="inlineStr">
        <is>
          <t>기존 입구 개선공사 공정의 흐름과 비효율을 분석한다.</t>
        </is>
      </c>
      <c r="E30" s="1" t="inlineStr">
        <is>
          <t>① 현장방문→실측→공간기획→개별도면→재실측→주문제작→현장 절단·천공·용접→설치→재작업 공정 흐름도
② 비효율 8항목(기획-제작 분리, 실측 누락·반복, 정보단절, 현장 추가가공, 업체 일정조정, 부품 재제작, 부분교체 곤란, 이력 미관리) 분석표
③ 정보단절·재작업 발생 지점 표기</t>
        </is>
      </c>
      <c r="F30" s="47" t="inlineStr">
        <is>
          <t>03_황우중_2장2절_공정비효율분석_W30_v1.pdf</t>
        </is>
      </c>
      <c r="G30" s="6" t="inlineStr">
        <is>
          <t>브링 구글 드라이브</t>
        </is>
      </c>
      <c r="H30" s="107" t="inlineStr">
        <is>
          <t>07-22(수) 18:00</t>
        </is>
      </c>
      <c r="I30" s="47" t="inlineStr">
        <is>
          <t>높음</t>
        </is>
      </c>
      <c r="J30" s="114" t="n">
        <v>3</v>
      </c>
      <c r="K30" s="19" t="n">
        <v>0.1</v>
      </c>
    </row>
    <row r="31" ht="90" customHeight="1" s="49">
      <c r="B31" s="17" t="n">
        <v>4</v>
      </c>
      <c r="C31" s="47" t="inlineStr">
        <is>
          <t>제2장 3절 — 기존 기술 8종 비교 및 한계</t>
        </is>
      </c>
      <c r="D31" s="47" t="inlineStr">
        <is>
          <t>관련 기존 기술을 비교하여 입구 리트로핏 적용 시 한계와 브링 기술의 보완지점을 도출한다.</t>
        </is>
      </c>
      <c r="E31" s="1" t="inlineStr">
        <is>
          <t>① 기존 기술 8종(현장 인테리어·리모델링/프리패브·OSC/모듈러 신축/Scan-to-BIM/파라메트릭 설계/3D프린팅/시설관리 앱/BIM·디지털트윈 FM) 비교표
② 각 기술의 해결문제·강점·노후건축물 입구 적용 한계·브링 보완방향 작성</t>
        </is>
      </c>
      <c r="F31" s="47" t="inlineStr">
        <is>
          <t>04_황우중_2장3절_기존기술비교_W30_v1.xlsx</t>
        </is>
      </c>
      <c r="G31" s="108" t="inlineStr">
        <is>
          <t>브링 구글 드라이브</t>
        </is>
      </c>
      <c r="H31" s="107" t="inlineStr">
        <is>
          <t>07-22(수) 18:00</t>
        </is>
      </c>
      <c r="I31" s="47" t="inlineStr">
        <is>
          <t>높음</t>
        </is>
      </c>
      <c r="J31" s="114" t="n">
        <v>4</v>
      </c>
      <c r="K31" s="19" t="n">
        <v>0.1</v>
      </c>
    </row>
    <row r="32" ht="69" customHeight="1" s="49">
      <c r="B32" s="17" t="n">
        <v>5</v>
      </c>
      <c r="C32" s="47" t="inlineStr">
        <is>
          <t>제2장 4절 — 핵심 문제 정의 및 분해</t>
        </is>
      </c>
      <c r="D32" s="47" t="inlineStr">
        <is>
          <t>보고서 전체의 핵심 문제를 한 문장으로 고정하고 하위 문제로 분해한다.</t>
        </is>
      </c>
      <c r="E32" s="1" t="inlineStr">
        <is>
          <t>① 핵심 문제문장 1개 확정(형상 상이·시공오차·정보 분리·현장 맞춤가공·재작업 반복)
② 하위 7개 문제(형상정보 부족/기획-제작 단절/현장 공차 대응 부족/표준·맞춤 구분 부재/공장 사전제작률 부족/탈부착·부분교체 부족/설치 후 이력관리 부족) 분해도
③ 각 하위문제의 근거</t>
        </is>
      </c>
      <c r="F32" s="47" t="inlineStr">
        <is>
          <t>05_황우중_2장4절_핵심문제정의_W30_v1.pdf</t>
        </is>
      </c>
      <c r="G32" s="108" t="inlineStr">
        <is>
          <t>브링 구글 드라이브</t>
        </is>
      </c>
      <c r="H32" s="107" t="inlineStr">
        <is>
          <t>07-22(수) 18:00</t>
        </is>
      </c>
      <c r="I32" s="47" t="inlineStr">
        <is>
          <t>높음</t>
        </is>
      </c>
      <c r="J32" s="114" t="n">
        <v>3</v>
      </c>
      <c r="K32" s="19" t="n">
        <v>0.1</v>
      </c>
    </row>
    <row r="33" ht="90" customHeight="1" s="49">
      <c r="B33" s="17" t="n"/>
      <c r="C33" s="47" t="inlineStr">
        <is>
          <t>제2장 5절 — 기술 개념 정의 및 흐름도</t>
        </is>
      </c>
      <c r="D33" s="47" t="inlineStr">
        <is>
          <t>입구 리트로핏 기술흐름을 개념 수준에서 정의한다.</t>
        </is>
      </c>
      <c r="E33" s="1" t="inlineStr">
        <is>
          <t>① 기술 개념 흐름도(입구 현장조사→형상·공차 실측→As-is BIM→공간·성능 문제 분석→To-be 공간기획→Scan-to-Fit 설계→표준 프레임 선정→맞춤 연결부 설계→기능 카세트 조합→BOM·제작도면→공장 사전제작·조립→현장 건식설치→품질·탈착 검증→FM/Building Passport 등록)
② 각 단계 입력·출력 정의
③ 초기 MVP·후속 확장범위 표</t>
        </is>
      </c>
      <c r="F33" s="47" t="inlineStr">
        <is>
          <t>06_황우중_2장5절_기술개념흐름_W30_v1.pdf</t>
        </is>
      </c>
      <c r="G33" s="6" t="inlineStr">
        <is>
          <t>브링 구글 드라이브</t>
        </is>
      </c>
      <c r="H33" s="107" t="inlineStr">
        <is>
          <t>07-23(목) 18:00</t>
        </is>
      </c>
      <c r="I33" s="47" t="inlineStr">
        <is>
          <t>높음</t>
        </is>
      </c>
      <c r="J33" s="114" t="n">
        <v>4</v>
      </c>
      <c r="K33" s="19" t="n">
        <v>0.1</v>
      </c>
    </row>
    <row r="34" ht="90" customHeight="1" s="49">
      <c r="B34" s="17" t="n"/>
      <c r="C34" s="47" t="inlineStr">
        <is>
          <t>제3장 — 연구가설 및 개념검증 논리 초안</t>
        </is>
      </c>
      <c r="D34" s="47" t="inlineStr">
        <is>
          <t>각 기술요소가 왜 필요한지 인과관계로 설명하고 검증 가능한 연구가설로 전환한다.</t>
        </is>
      </c>
      <c r="E34" s="1" t="inlineStr">
        <is>
          <t>① 최소 6개 연구가설(디지털 실측/BIM 기반 기획-제작 연계/표준·맞춤 분리 반복성/공장 사전조립 작업·재작업 절감/탈부착 카세트 부분교체·기능추가/Building Passport 이력관리)
② 가설별 표: 연구가설 / 논리적 근거 / 확인해야 할 데이터 / TRL 2 검증방법 / 예상 산출물
③ 완전주문제작·완전표준화·혼합생산 비교표
④ 기술요소별 필요성 표</t>
        </is>
      </c>
      <c r="F34" s="47" t="inlineStr">
        <is>
          <t>07_황우중_3장_연구가설_검증초안_W30_v1.xlsx</t>
        </is>
      </c>
      <c r="G34" s="6" t="inlineStr">
        <is>
          <t>브링 구글 드라이브</t>
        </is>
      </c>
      <c r="H34" s="107" t="inlineStr">
        <is>
          <t>07-23(목) 18:00</t>
        </is>
      </c>
      <c r="I34" s="47" t="inlineStr">
        <is>
          <t>높음</t>
        </is>
      </c>
      <c r="J34" s="114" t="n">
        <v>6</v>
      </c>
      <c r="K34" s="19" t="n">
        <v>0.12</v>
      </c>
    </row>
    <row r="35" ht="90" customHeight="1" s="49">
      <c r="B35" s="17" t="n"/>
      <c r="C35" s="47" t="inlineStr">
        <is>
          <t>제4장 — 시스템 구조·구성방식·최적구조 초안</t>
        </is>
      </c>
      <c r="D35" s="47" t="inlineStr">
        <is>
          <t>TRL 1 수준에서 시스템을 5~6개 모듈로 정리하고 혼합생산형 입구 리트로핏 구조를 개념안으로 도출한다.</t>
        </is>
      </c>
      <c r="E35" s="1" t="inlineStr">
        <is>
          <t>① 모듈 5~6개 정의표(역할/입력/처리/출력/HW/SW/수행주체/초기MVP 포함여부/후속확장)
② 구성방식 6후보 비교표(현장적합성·제작난이도·원가·표준화·운송·설치·탈착·확장성·스마트공장 연계)
③ 최적 구조 선정 근거표(혼합생산형 입구 리트로핏 — TRL 2에서 변경 가능한 개념안으로 표기)
④ 전체 시스템 구성도</t>
        </is>
      </c>
      <c r="F35" s="47" t="inlineStr">
        <is>
          <t>08_황우중_4장_시스템구조_초안_W30_v1.pdf</t>
        </is>
      </c>
      <c r="G35" s="6" t="inlineStr">
        <is>
          <t>브링 구글 드라이브</t>
        </is>
      </c>
      <c r="H35" s="107" t="inlineStr">
        <is>
          <t>07-24(금) 12:00</t>
        </is>
      </c>
      <c r="I35" s="47" t="inlineStr">
        <is>
          <t>높음</t>
        </is>
      </c>
      <c r="J35" s="114" t="n">
        <v>6</v>
      </c>
      <c r="K35" s="19" t="n">
        <v>0.12</v>
      </c>
    </row>
    <row r="36" ht="90" customHeight="1" s="49">
      <c r="B36" s="17" t="n"/>
      <c r="C36" s="47" t="inlineStr">
        <is>
          <t>제4장 — 제품구조·데이터 흐름 + 제2장 필수 산출물 패키지</t>
        </is>
      </c>
      <c r="D36" s="47" t="inlineStr">
        <is>
          <t>제품 분해구조와 데이터 흐름을 초안화하고 제2장 필수 산출물을 완비한다.</t>
        </is>
      </c>
      <c r="E36" s="1" t="inlineStr">
        <is>
          <t>① 제품 분해구조도(표준 프레임–맞춤 공차보정 연결부–탈부착 기능 카세트)
② 데이터 흐름도(BIM–BOM–제작도면–부품 ID–품질검사–FM/Passport)
③ 제2장 필수 산출물 6종 완비(입구 구조 분류표/기존 공정 비효율표/기존 기술 비교표/핵심 문제 분해도/기술개념 흐름도/초기 MVP·후속확장 표)</t>
        </is>
      </c>
      <c r="F36" s="47" t="inlineStr">
        <is>
          <t>09_황우중_4장제품구조_2장산출물_W30_v1.pdf</t>
        </is>
      </c>
      <c r="G36" s="6" t="inlineStr">
        <is>
          <t>브링 구글 드라이브</t>
        </is>
      </c>
      <c r="H36" s="107" t="inlineStr">
        <is>
          <t>07-24(금) 15:00</t>
        </is>
      </c>
      <c r="I36" s="47" t="inlineStr">
        <is>
          <t>높음</t>
        </is>
      </c>
      <c r="J36" s="114" t="n">
        <v>5</v>
      </c>
      <c r="K36" s="19" t="n">
        <v>0.08</v>
      </c>
    </row>
    <row r="37" ht="90" customHeight="1" s="49">
      <c r="B37" s="17" t="n"/>
      <c r="C37" s="47" t="inlineStr">
        <is>
          <t>미확인 가정·대표 검토 쟁점·용어/약어 정리</t>
        </is>
      </c>
      <c r="D37" s="47" t="inlineStr">
        <is>
          <t>TRL 1 단계에서 확정되지 않은 가정과 대표 검토가 필요한 쟁점을 분리하고 부속자료를 정리한다.</t>
        </is>
      </c>
      <c r="E37" s="1" t="inlineStr">
        <is>
          <t>① 확인되지 않은 가정 목록
② 대표 검토가 필요한 쟁점 목록
③ 용어정의·약어목록 초안
④ 참고문헌·근거자료 출처 목록</t>
        </is>
      </c>
      <c r="F37" s="47" t="inlineStr">
        <is>
          <t>10_황우중_가정_쟁점_용어정리_W30_v1.pdf</t>
        </is>
      </c>
      <c r="G37" s="6" t="inlineStr">
        <is>
          <t>브링 구글 드라이브</t>
        </is>
      </c>
      <c r="H37" s="107" t="inlineStr">
        <is>
          <t>07-24(금) 17:00</t>
        </is>
      </c>
      <c r="I37" s="47" t="inlineStr">
        <is>
          <t>보통</t>
        </is>
      </c>
      <c r="J37" s="114" t="n">
        <v>3</v>
      </c>
      <c r="K37" s="19" t="n">
        <v>0.08</v>
      </c>
    </row>
    <row r="38" ht="69" customHeight="1" s="49">
      <c r="B38" s="45" t="inlineStr">
        <is>
          <t>합계</t>
        </is>
      </c>
      <c r="C38" s="51" t="n"/>
      <c r="D38" s="41" t="n"/>
      <c r="E38" s="41" t="n"/>
      <c r="F38" s="41" t="n"/>
      <c r="G38" s="41" t="n"/>
      <c r="H38" s="41" t="n"/>
      <c r="I38" s="42" t="n"/>
      <c r="J38" s="115">
        <f>SUM(J28:J37)</f>
        <v/>
      </c>
      <c r="K38" s="21">
        <f>SUM(K28:K37)</f>
        <v/>
      </c>
    </row>
    <row r="39" ht="24" customHeight="1" s="49">
      <c r="B39" s="45" t="inlineStr">
        <is>
          <t>발행 검증</t>
        </is>
      </c>
      <c r="C39" s="116">
        <f>IF(COUNTA(C28:C37)=0,"업무 미입력",IF(COUNTA(E28:E37)&lt;COUNTA(C28:C37),"발행 불가 — 완료기준 누락 업무 있음",IF(COUNTA(F28:F37)&lt;COUNTA(C28:C37),"발행 불가 — 산출물 누락 업무 있음",IF(SUM(K28:K37)&lt;&gt;1,"발행 불가 — 가중치 합계 "&amp;TEXT(SUM(K28:K37),"0%")&amp;" (100% 필요)","발행 가능 — 완료기준·산출물·가중치 충족"))))</f>
        <v/>
      </c>
      <c r="D39" s="41" t="n"/>
      <c r="E39" s="41" t="n"/>
      <c r="F39" s="41" t="n"/>
      <c r="G39" s="41" t="n"/>
      <c r="H39" s="41" t="n"/>
      <c r="I39" s="41" t="n"/>
      <c r="J39" s="41" t="n"/>
      <c r="K39" s="42" t="n"/>
    </row>
    <row r="40" ht="24" customHeight="1" s="49">
      <c r="B40" s="45" t="n"/>
      <c r="C40" s="43" t="n"/>
    </row>
    <row r="41" ht="24" customHeight="1" s="49">
      <c r="B41" s="45" t="n"/>
      <c r="C41" s="43" t="n"/>
    </row>
    <row r="42" ht="18" customHeight="1" s="49">
      <c r="B42" s="89" t="inlineStr">
        <is>
          <t>담당자 접수확인  —  월요일 12:00까지 담당자 직접 작성 (미작성 = 업무 미이해로 간주, 재지시)</t>
        </is>
      </c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</row>
    <row r="43" ht="36" customHeight="1" s="49">
      <c r="B43" s="45" t="inlineStr">
        <is>
          <t>내가 이해한 업무
(본인 언어로 재작성)</t>
        </is>
      </c>
      <c r="C43" s="117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19.5" customHeight="1" s="49">
      <c r="B44" s="45" t="inlineStr">
        <is>
          <t>완료기준 재확인
(무엇이 되면 끝인가)</t>
        </is>
      </c>
      <c r="C44" s="118" t="n"/>
      <c r="D44" s="41" t="n"/>
      <c r="E44" s="41" t="n"/>
      <c r="F44" s="41" t="n"/>
      <c r="G44" s="41" t="n"/>
      <c r="H44" s="41" t="n"/>
      <c r="I44" s="41" t="n"/>
      <c r="J44" s="41" t="n"/>
      <c r="K44" s="42" t="n"/>
    </row>
    <row r="45" ht="24" customHeight="1" s="49">
      <c r="B45" s="45" t="inlineStr">
        <is>
          <t>예상 리스크
(막힐 것 같은 지점)</t>
        </is>
      </c>
      <c r="C45" s="43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inlineStr">
        <is>
          <t>필요한 지원·의사결정</t>
        </is>
      </c>
      <c r="C46" s="43" t="n"/>
      <c r="D46" s="41" t="n"/>
      <c r="E46" s="41" t="n"/>
      <c r="F46" s="41" t="n"/>
      <c r="G46" s="41" t="n"/>
      <c r="H46" s="41" t="n"/>
      <c r="I46" s="41" t="n"/>
      <c r="J46" s="41" t="n"/>
      <c r="K46" s="42" t="n"/>
    </row>
    <row r="47" ht="24" customHeight="1" s="49">
      <c r="B47" s="45" t="inlineStr">
        <is>
          <t>실행 계획 (요일 배분)</t>
        </is>
      </c>
      <c r="C47" s="43" t="n"/>
      <c r="D47" s="41" t="n"/>
      <c r="E47" s="41" t="n"/>
      <c r="F47" s="41" t="n"/>
      <c r="G47" s="41" t="n"/>
      <c r="H47" s="41" t="n"/>
      <c r="I47" s="41" t="n"/>
      <c r="J47" s="41" t="n"/>
      <c r="K47" s="42" t="n"/>
    </row>
    <row r="48" ht="24" customHeight="1" s="49">
      <c r="B48" s="45" t="inlineStr">
        <is>
          <t>접수 확인 일시 / 서명</t>
        </is>
      </c>
      <c r="C48" s="47" t="n"/>
      <c r="D48" s="41" t="n"/>
      <c r="E48" s="41" t="n"/>
      <c r="F48" s="41" t="n"/>
      <c r="G48" s="41" t="n"/>
      <c r="H48" s="41" t="n"/>
      <c r="I48" s="41" t="n"/>
      <c r="J48" s="41" t="n"/>
      <c r="K48" s="42" t="n"/>
    </row>
    <row r="49" ht="24" customHeight="1" s="49"/>
    <row r="50" ht="24" customHeight="1" s="49">
      <c r="B50" s="4" t="inlineStr">
        <is>
          <t>결   재</t>
        </is>
      </c>
      <c r="C50" s="41" t="n"/>
      <c r="D50" s="41" t="n"/>
      <c r="E50" s="41" t="n"/>
      <c r="F50" s="41" t="n"/>
      <c r="G50" s="41" t="n"/>
      <c r="H50" s="41" t="n"/>
      <c r="I50" s="41" t="n"/>
      <c r="J50" s="41" t="n"/>
      <c r="K50" s="42" t="n"/>
    </row>
    <row r="51" ht="24" customHeight="1" s="49">
      <c r="B51" s="45" t="inlineStr">
        <is>
          <t>구분</t>
        </is>
      </c>
      <c r="C51" s="45" t="inlineStr">
        <is>
          <t>작성 (지시자)</t>
        </is>
      </c>
      <c r="D51" s="42" t="n"/>
      <c r="E51" s="45" t="inlineStr">
        <is>
          <t>검토 (검수자)</t>
        </is>
      </c>
      <c r="F51" s="42" t="n"/>
      <c r="G51" s="45" t="inlineStr">
        <is>
          <t>승인 (대표)</t>
        </is>
      </c>
      <c r="H51" s="42" t="n"/>
      <c r="I51" s="45" t="inlineStr">
        <is>
          <t>접수 (담당자)</t>
        </is>
      </c>
      <c r="J51" s="42" t="n"/>
      <c r="K51" s="45" t="inlineStr">
        <is>
          <t>일자</t>
        </is>
      </c>
    </row>
    <row r="52" ht="21.75" customHeight="1" s="49">
      <c r="B52" s="45" t="inlineStr">
        <is>
          <t>서명</t>
        </is>
      </c>
      <c r="C52" s="47" t="inlineStr">
        <is>
          <t>서 창 환</t>
        </is>
      </c>
      <c r="D52" s="42" t="n"/>
      <c r="E52" s="47" t="inlineStr">
        <is>
          <t>서 창 환</t>
        </is>
      </c>
      <c r="F52" s="42" t="n"/>
      <c r="G52" s="47" t="inlineStr">
        <is>
          <t>서 창 환</t>
        </is>
      </c>
      <c r="H52" s="42" t="n"/>
      <c r="I52" s="47" t="inlineStr">
        <is>
          <t>황 우 중</t>
        </is>
      </c>
      <c r="J52" s="42" t="n"/>
      <c r="K52" s="109" t="inlineStr">
        <is>
          <t>2026-07-20</t>
        </is>
      </c>
    </row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47:K47"/>
    <mergeCell ref="G52:H52"/>
    <mergeCell ref="C10:K10"/>
    <mergeCell ref="C15:J15"/>
    <mergeCell ref="C44:K44"/>
    <mergeCell ref="C24:J24"/>
    <mergeCell ref="C9:K9"/>
    <mergeCell ref="C14:J14"/>
    <mergeCell ref="C38:I38"/>
    <mergeCell ref="E52:F52"/>
    <mergeCell ref="C43:K43"/>
    <mergeCell ref="C46:K46"/>
    <mergeCell ref="E51:F51"/>
    <mergeCell ref="B50:K50"/>
    <mergeCell ref="C20:J20"/>
    <mergeCell ref="B26:K26"/>
    <mergeCell ref="C16:J16"/>
    <mergeCell ref="C48:K48"/>
    <mergeCell ref="B7:K7"/>
    <mergeCell ref="C39:K39"/>
    <mergeCell ref="C22:J22"/>
    <mergeCell ref="C8:K8"/>
    <mergeCell ref="B14:B21"/>
    <mergeCell ref="C21:J21"/>
    <mergeCell ref="C51:D51"/>
    <mergeCell ref="B12:K12"/>
    <mergeCell ref="C52:D52"/>
    <mergeCell ref="I52:J52"/>
    <mergeCell ref="B2:K2"/>
    <mergeCell ref="B42:K42"/>
    <mergeCell ref="C23:J23"/>
    <mergeCell ref="C17:J17"/>
    <mergeCell ref="G51:H51"/>
    <mergeCell ref="I51:J51"/>
    <mergeCell ref="B1:K1"/>
    <mergeCell ref="C45:K45"/>
    <mergeCell ref="C13:J13"/>
    <mergeCell ref="C19:J19"/>
    <mergeCell ref="C18:J18"/>
  </mergeCells>
  <dataValidations count="1">
    <dataValidation sqref="I28:I37" showDropDown="0" showInputMessage="0" showErrorMessage="0" allowBlank="1" type="list">
      <formula1>"높음,보통,낮음"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52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SUMPRODUCT(F12:F21,H12:H21)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SUM('01_업무지시서'!J28:J37)</f>
        <v/>
      </c>
      <c r="I5" s="4" t="inlineStr">
        <is>
          <t>실제 h</t>
        </is>
      </c>
      <c r="J5" s="119">
        <f>SUM(I12:I21)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27.75" customHeight="1" s="49">
      <c r="C17" s="17" t="n"/>
      <c r="D17" s="40">
        <f>IF('01_업무지시서'!C33="","",'01_업무지시서'!C33)</f>
        <v/>
      </c>
      <c r="E17" s="40">
        <f>IF('01_업무지시서'!E33="","",'01_업무지시서'!E33)</f>
        <v/>
      </c>
      <c r="F17" s="11">
        <f>IF('01_업무지시서'!K33="",0,'01_업무지시서'!K33)</f>
        <v/>
      </c>
      <c r="G17" s="47" t="n"/>
      <c r="H17" s="19" t="n"/>
      <c r="I17" s="114" t="n"/>
      <c r="J17" s="47" t="n"/>
      <c r="K17" s="47" t="n"/>
      <c r="L17" s="47" t="n"/>
    </row>
    <row r="18" ht="27.75" customHeight="1" s="49">
      <c r="C18" s="17" t="n"/>
      <c r="D18" s="40">
        <f>IF('01_업무지시서'!C34="","",'01_업무지시서'!C34)</f>
        <v/>
      </c>
      <c r="E18" s="40">
        <f>IF('01_업무지시서'!E34="","",'01_업무지시서'!E34)</f>
        <v/>
      </c>
      <c r="F18" s="11">
        <f>IF('01_업무지시서'!K34="",0,'01_업무지시서'!K34)</f>
        <v/>
      </c>
      <c r="G18" s="47" t="n"/>
      <c r="H18" s="19" t="n"/>
      <c r="I18" s="114" t="n"/>
      <c r="J18" s="47" t="n"/>
      <c r="K18" s="47" t="n"/>
      <c r="L18" s="47" t="n"/>
    </row>
    <row r="19" ht="27.75" customHeight="1" s="49">
      <c r="C19" s="17" t="n"/>
      <c r="D19" s="40">
        <f>IF('01_업무지시서'!C35="","",'01_업무지시서'!C35)</f>
        <v/>
      </c>
      <c r="E19" s="40">
        <f>IF('01_업무지시서'!E35="","",'01_업무지시서'!E35)</f>
        <v/>
      </c>
      <c r="F19" s="11">
        <f>IF('01_업무지시서'!K35="",0,'01_업무지시서'!K35)</f>
        <v/>
      </c>
      <c r="G19" s="47" t="n"/>
      <c r="H19" s="19" t="n"/>
      <c r="I19" s="114" t="n"/>
      <c r="J19" s="47" t="n"/>
      <c r="K19" s="47" t="n"/>
      <c r="L19" s="47" t="n"/>
    </row>
    <row r="20" ht="27.75" customHeight="1" s="49">
      <c r="C20" s="17" t="n"/>
      <c r="D20" s="40">
        <f>IF('01_업무지시서'!C36="","",'01_업무지시서'!C36)</f>
        <v/>
      </c>
      <c r="E20" s="40">
        <f>IF('01_업무지시서'!E36="","",'01_업무지시서'!E36)</f>
        <v/>
      </c>
      <c r="F20" s="11">
        <f>IF('01_업무지시서'!K36="",0,'01_업무지시서'!K36)</f>
        <v/>
      </c>
      <c r="G20" s="47" t="n"/>
      <c r="H20" s="19" t="n"/>
      <c r="I20" s="114" t="n"/>
      <c r="J20" s="47" t="n"/>
      <c r="K20" s="47" t="n"/>
      <c r="L20" s="47" t="n"/>
    </row>
    <row r="21" ht="27.75" customHeight="1" s="49">
      <c r="C21" s="17" t="n"/>
      <c r="D21" s="40">
        <f>IF('01_업무지시서'!C37="","",'01_업무지시서'!C37)</f>
        <v/>
      </c>
      <c r="E21" s="40">
        <f>IF('01_업무지시서'!E37="","",'01_업무지시서'!E37)</f>
        <v/>
      </c>
      <c r="F21" s="11">
        <f>IF('01_업무지시서'!K37="",0,'01_업무지시서'!K37)</f>
        <v/>
      </c>
      <c r="G21" s="47" t="n"/>
      <c r="H21" s="19" t="n"/>
      <c r="I21" s="114" t="n"/>
      <c r="J21" s="47" t="n"/>
      <c r="K21" s="47" t="n"/>
      <c r="L21" s="47" t="n"/>
    </row>
    <row r="22" ht="15" customHeight="1" s="49">
      <c r="C22" s="45" t="inlineStr">
        <is>
          <t>합계</t>
        </is>
      </c>
      <c r="D22" s="45" t="inlineStr">
        <is>
          <t>가중 달성률 →</t>
        </is>
      </c>
      <c r="E22" s="42" t="n"/>
      <c r="F22" s="21">
        <f>SUM(F12:F21)</f>
        <v/>
      </c>
      <c r="G22" s="28">
        <f>SUMPRODUCT(F12:F21,H12:H21)</f>
        <v/>
      </c>
      <c r="H22" s="29">
        <f>COUNTIF(G12:G21,"완료")</f>
        <v/>
      </c>
      <c r="I22" s="115">
        <f>SUM(I12:I21)</f>
        <v/>
      </c>
      <c r="J22" s="69">
        <f>"완료 "&amp;COUNTIF(G12:G21,"완료")&amp;"건 / 진행중 "&amp;COUNTIF(G12:G21,"진행중")&amp;"건 / 미착수 "&amp;COUNTIF(G12:G21,"미착수")&amp;"건"</f>
        <v/>
      </c>
      <c r="K22" s="41" t="n"/>
      <c r="L22" s="42" t="n"/>
    </row>
    <row r="23" ht="24" customHeight="1" s="49">
      <c r="C23" s="46" t="n"/>
      <c r="D23" s="46" t="n"/>
      <c r="I23" s="46" t="n"/>
      <c r="J23" s="46" t="n"/>
      <c r="L23" s="46" t="n"/>
    </row>
    <row r="24" ht="19.5" customHeight="1" s="49">
      <c r="C24" s="121" t="inlineStr">
        <is>
          <t>2. 자가 검수  —  제출 전 §4 검수기준으로 본인이 먼저 점검</t>
        </is>
      </c>
      <c r="D24" s="64" t="n"/>
      <c r="E24" s="64" t="n"/>
      <c r="F24" s="64" t="n"/>
      <c r="G24" s="64" t="n"/>
      <c r="H24" s="64" t="n"/>
      <c r="I24" s="64" t="n"/>
      <c r="J24" s="64" t="n"/>
      <c r="K24" s="64" t="n"/>
      <c r="L24" s="65" t="n"/>
    </row>
    <row r="25" ht="24" customHeight="1" s="49">
      <c r="C25" s="46" t="inlineStr">
        <is>
          <t>검수 항목 (자동)</t>
        </is>
      </c>
      <c r="D25" s="46" t="inlineStr">
        <is>
          <t>검수 질문 (자동)</t>
        </is>
      </c>
      <c r="E25" s="41" t="n"/>
      <c r="F25" s="41" t="n"/>
      <c r="G25" s="41" t="n"/>
      <c r="H25" s="42" t="n"/>
      <c r="I25" s="46" t="inlineStr">
        <is>
          <t>자가
판정</t>
        </is>
      </c>
      <c r="J25" s="46" t="inlineStr">
        <is>
          <t>미충족 사유·보완 계획</t>
        </is>
      </c>
      <c r="K25" s="42" t="n"/>
      <c r="L25" s="46" t="inlineStr">
        <is>
          <t>검수자
판정</t>
        </is>
      </c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4" customHeight="1" s="49">
      <c r="C28" s="69" t="n"/>
      <c r="D28" s="55" t="n"/>
      <c r="E28" s="41" t="n"/>
      <c r="F28" s="41" t="n"/>
      <c r="G28" s="41" t="n"/>
      <c r="H28" s="42" t="n"/>
      <c r="I28" s="47" t="n"/>
      <c r="J28" s="44" t="n"/>
      <c r="K28" s="42" t="n"/>
      <c r="L28" s="66" t="n"/>
    </row>
    <row r="29" ht="24" customHeight="1" s="49">
      <c r="C29" s="69" t="n"/>
      <c r="D29" s="55" t="n"/>
      <c r="E29" s="41" t="n"/>
      <c r="F29" s="41" t="n"/>
      <c r="G29" s="41" t="n"/>
      <c r="H29" s="42" t="n"/>
      <c r="I29" s="47" t="n"/>
      <c r="J29" s="44" t="n"/>
      <c r="K29" s="42" t="n"/>
      <c r="L29" s="66" t="n"/>
    </row>
    <row r="30" ht="24" customHeight="1" s="49">
      <c r="C30" s="69" t="n"/>
      <c r="D30" s="55" t="n"/>
      <c r="E30" s="41" t="n"/>
      <c r="F30" s="41" t="n"/>
      <c r="G30" s="41" t="n"/>
      <c r="H30" s="42" t="n"/>
      <c r="I30" s="47" t="n"/>
      <c r="J30" s="44" t="n"/>
      <c r="K30" s="42" t="n"/>
      <c r="L30" s="66" t="n"/>
    </row>
    <row r="31" ht="24" customHeight="1" s="49">
      <c r="C31" s="69" t="n"/>
      <c r="D31" s="55" t="n"/>
      <c r="E31" s="41" t="n"/>
      <c r="F31" s="41" t="n"/>
      <c r="G31" s="41" t="n"/>
      <c r="H31" s="42" t="n"/>
      <c r="I31" s="47" t="n"/>
      <c r="J31" s="44" t="n"/>
      <c r="K31" s="42" t="n"/>
      <c r="L31" s="66" t="n"/>
    </row>
    <row r="32" ht="24" customHeight="1" s="49">
      <c r="C32" s="69" t="n"/>
      <c r="D32" s="55" t="n"/>
      <c r="E32" s="41" t="n"/>
      <c r="F32" s="41" t="n"/>
      <c r="G32" s="41" t="n"/>
      <c r="H32" s="42" t="n"/>
      <c r="I32" s="47" t="n"/>
      <c r="J32" s="44" t="n"/>
      <c r="K32" s="42" t="n"/>
      <c r="L32" s="66" t="n"/>
    </row>
    <row r="33" ht="27.75" customHeight="1" s="49"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</row>
    <row r="34" ht="19.5" customHeight="1" s="49">
      <c r="C34" s="121" t="inlineStr">
        <is>
          <t>3. 이슈 및 지원요청  —  대안 없이 문제만 올리는 보고는 반려</t>
        </is>
      </c>
      <c r="D34" s="64" t="n"/>
      <c r="E34" s="64" t="n"/>
      <c r="F34" s="64" t="n"/>
      <c r="G34" s="64" t="n"/>
      <c r="H34" s="64" t="n"/>
      <c r="I34" s="64" t="n"/>
      <c r="J34" s="64" t="n"/>
      <c r="K34" s="64" t="n"/>
      <c r="L34" s="65" t="n"/>
    </row>
    <row r="35" ht="27.75" customHeight="1" s="49">
      <c r="C35" s="46" t="inlineStr">
        <is>
          <t>구분</t>
        </is>
      </c>
      <c r="D35" s="46" t="inlineStr">
        <is>
          <t>이슈 내용</t>
        </is>
      </c>
      <c r="E35" s="46" t="inlineStr">
        <is>
          <t>영향
(일정/비용/품질)</t>
        </is>
      </c>
      <c r="F35" s="46" t="inlineStr">
        <is>
          <t>근본 원인</t>
        </is>
      </c>
      <c r="G35" s="46" t="inlineStr">
        <is>
          <t>대안 1</t>
        </is>
      </c>
      <c r="H35" s="46" t="inlineStr">
        <is>
          <t>대안 2</t>
        </is>
      </c>
      <c r="I35" s="46" t="inlineStr">
        <is>
          <t>권고안</t>
        </is>
      </c>
      <c r="J35" s="46" t="inlineStr">
        <is>
          <t>요청사항</t>
        </is>
      </c>
      <c r="K35" s="46" t="inlineStr">
        <is>
          <t>결정기한</t>
        </is>
      </c>
      <c r="L35" s="46" t="inlineStr">
        <is>
          <t>대표 결정</t>
        </is>
      </c>
    </row>
    <row r="36" ht="36" customHeight="1" s="49">
      <c r="C36" s="6" t="n"/>
      <c r="D36" s="18" t="n"/>
      <c r="E36" s="6" t="n"/>
      <c r="F36" s="18" t="n"/>
      <c r="G36" s="18" t="n"/>
      <c r="H36" s="18" t="n"/>
      <c r="I36" s="18" t="n"/>
      <c r="J36" s="18" t="n"/>
      <c r="K36" s="6" t="n"/>
      <c r="L36" s="66" t="n"/>
    </row>
    <row r="37" ht="36" customHeight="1" s="49">
      <c r="C37" s="6" t="n"/>
      <c r="D37" s="18" t="n"/>
      <c r="E37" s="6" t="n"/>
      <c r="F37" s="18" t="n"/>
      <c r="G37" s="18" t="n"/>
      <c r="H37" s="18" t="n"/>
      <c r="I37" s="18" t="n"/>
      <c r="J37" s="18" t="n"/>
      <c r="K37" s="6" t="n"/>
      <c r="L37" s="66" t="n"/>
    </row>
    <row r="38" ht="36" customHeight="1" s="49">
      <c r="C38" s="6" t="n"/>
      <c r="D38" s="18" t="n"/>
      <c r="E38" s="6" t="n"/>
      <c r="F38" s="18" t="n"/>
      <c r="G38" s="18" t="n"/>
      <c r="H38" s="18" t="n"/>
      <c r="I38" s="18" t="n"/>
      <c r="J38" s="18" t="n"/>
      <c r="K38" s="6" t="n"/>
      <c r="L38" s="66" t="n"/>
    </row>
    <row r="39" ht="27.75" customHeight="1" s="49">
      <c r="C39" s="13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</row>
    <row r="40" ht="19.5" customHeight="1" s="49">
      <c r="C40" s="121" t="inlineStr">
        <is>
          <t>4. 다음 주 제안 업무  —  지시를 기다리지 말 것. 본인이 먼저 제안.</t>
        </is>
      </c>
      <c r="D40" s="64" t="n"/>
      <c r="E40" s="64" t="n"/>
      <c r="F40" s="64" t="n"/>
      <c r="G40" s="64" t="n"/>
      <c r="H40" s="64" t="n"/>
      <c r="I40" s="64" t="n"/>
      <c r="J40" s="64" t="n"/>
      <c r="K40" s="64" t="n"/>
      <c r="L40" s="65" t="n"/>
    </row>
    <row r="41" ht="27.75" customHeight="1" s="49">
      <c r="C41" s="13" t="inlineStr">
        <is>
          <t>No</t>
        </is>
      </c>
      <c r="D41" s="46" t="inlineStr">
        <is>
          <t>제안 업무</t>
        </is>
      </c>
      <c r="E41" s="46" t="inlineStr">
        <is>
          <t>왜 해야 하는가</t>
        </is>
      </c>
      <c r="F41" s="46" t="inlineStr">
        <is>
          <t>완료기준(안)</t>
        </is>
      </c>
      <c r="G41" s="46" t="inlineStr">
        <is>
          <t>예상
소요(h)</t>
        </is>
      </c>
      <c r="H41" s="46" t="inlineStr">
        <is>
          <t>우선순위(안)</t>
        </is>
      </c>
      <c r="I41" s="46" t="inlineStr">
        <is>
          <t>선행 조건</t>
        </is>
      </c>
      <c r="J41" s="46" t="inlineStr">
        <is>
          <t>필요 지원</t>
        </is>
      </c>
      <c r="K41" s="46" t="inlineStr">
        <is>
          <t>대표 승인</t>
        </is>
      </c>
      <c r="L41" s="46" t="inlineStr">
        <is>
          <t>비고</t>
        </is>
      </c>
    </row>
    <row r="42" ht="31.5" customHeight="1" s="49">
      <c r="C42" s="22" t="n">
        <v>1</v>
      </c>
      <c r="D42" s="18" t="n"/>
      <c r="E42" s="18" t="n"/>
      <c r="F42" s="18" t="n"/>
      <c r="G42" s="114" t="n"/>
      <c r="H42" s="6" t="n"/>
      <c r="I42" s="18" t="n"/>
      <c r="J42" s="18" t="n"/>
      <c r="K42" s="66" t="n"/>
      <c r="L42" s="6" t="n"/>
    </row>
    <row r="43" ht="31.5" customHeight="1" s="49">
      <c r="C43" s="22" t="n">
        <v>2</v>
      </c>
      <c r="D43" s="18" t="n"/>
      <c r="E43" s="18" t="n"/>
      <c r="F43" s="18" t="n"/>
      <c r="G43" s="114" t="n"/>
      <c r="H43" s="6" t="n"/>
      <c r="I43" s="18" t="n"/>
      <c r="J43" s="18" t="n"/>
      <c r="K43" s="66" t="n"/>
      <c r="L43" s="6" t="n"/>
    </row>
    <row r="44" ht="31.5" customHeight="1" s="49">
      <c r="C44" s="22" t="n">
        <v>3</v>
      </c>
      <c r="D44" s="18" t="n"/>
      <c r="E44" s="18" t="n"/>
      <c r="F44" s="18" t="n"/>
      <c r="G44" s="114" t="n"/>
      <c r="H44" s="6" t="n"/>
      <c r="I44" s="18" t="n"/>
      <c r="J44" s="18" t="n"/>
      <c r="K44" s="66" t="n"/>
      <c r="L44" s="6" t="n"/>
    </row>
    <row r="45" ht="31.5" customHeight="1" s="49">
      <c r="C45" s="22" t="n">
        <v>4</v>
      </c>
      <c r="D45" s="18" t="n"/>
      <c r="E45" s="18" t="n"/>
      <c r="F45" s="18" t="n"/>
      <c r="G45" s="114" t="n"/>
      <c r="H45" s="6" t="n"/>
      <c r="I45" s="18" t="n"/>
      <c r="J45" s="18" t="n"/>
      <c r="K45" s="66" t="n"/>
      <c r="L45" s="6" t="n"/>
    </row>
    <row r="46" ht="25.5" customHeight="1" s="49">
      <c r="C46" s="45" t="n"/>
      <c r="D46" s="43" t="n"/>
      <c r="J46" s="58" t="n"/>
    </row>
    <row r="47" ht="19.5" customHeight="1" s="49">
      <c r="C47" s="48" t="inlineStr">
        <is>
          <t>5. 자기점검 및 대표 검수</t>
        </is>
      </c>
    </row>
    <row r="48" ht="25.5" customHeight="1" s="49">
      <c r="C48" s="45" t="inlineStr">
        <is>
          <t>이번 주 가장 잘한 것</t>
        </is>
      </c>
      <c r="D48" s="43" t="inlineStr">
        <is>
          <t>결과로 증명되는 것 1개만</t>
        </is>
      </c>
      <c r="E48" s="41" t="n"/>
      <c r="F48" s="41" t="n"/>
      <c r="G48" s="41" t="n"/>
      <c r="H48" s="41" t="n"/>
      <c r="I48" s="42" t="n"/>
      <c r="J48" s="58" t="inlineStr">
        <is>
          <t>[대표 검수 의견]</t>
        </is>
      </c>
      <c r="K48" s="59" t="n"/>
      <c r="L48" s="60" t="n"/>
    </row>
    <row r="49" ht="25.5" customHeight="1" s="49">
      <c r="C49" s="45" t="inlineStr">
        <is>
          <t>이번 주 가장 부족한 것</t>
        </is>
      </c>
      <c r="D49" s="43" t="inlineStr">
        <is>
          <t>변명 말고 사실만</t>
        </is>
      </c>
      <c r="E49" s="41" t="n"/>
      <c r="F49" s="41" t="n"/>
      <c r="G49" s="41" t="n"/>
      <c r="H49" s="41" t="n"/>
      <c r="I49" s="42" t="n"/>
      <c r="J49" s="61" t="n"/>
      <c r="L49" s="62" t="n"/>
    </row>
    <row r="50" ht="25.5" customHeight="1" s="49">
      <c r="C50" s="45" t="inlineStr">
        <is>
          <t>다음 주 개선 액션 1개</t>
        </is>
      </c>
      <c r="D50" s="43" t="inlineStr">
        <is>
          <t>실행 가능한 행동으로</t>
        </is>
      </c>
      <c r="E50" s="41" t="n"/>
      <c r="F50" s="41" t="n"/>
      <c r="G50" s="41" t="n"/>
      <c r="H50" s="41" t="n"/>
      <c r="I50" s="42" t="n"/>
      <c r="J50" s="63" t="n"/>
      <c r="K50" s="64" t="n"/>
      <c r="L50" s="65" t="n"/>
    </row>
    <row r="52" ht="33.75" customHeight="1" s="49">
      <c r="C52" s="45" t="inlineStr">
        <is>
          <t>제출자</t>
        </is>
      </c>
      <c r="D52" s="47" t="n"/>
      <c r="E52" s="41" t="n"/>
      <c r="F52" s="42" t="n"/>
      <c r="G52" s="45" t="inlineStr">
        <is>
          <t>검수자</t>
        </is>
      </c>
      <c r="H52" s="66" t="n"/>
      <c r="I52" s="42" t="n"/>
      <c r="J52" s="45" t="inlineStr">
        <is>
          <t>최종 판정</t>
        </is>
      </c>
      <c r="K52" s="56" t="n"/>
      <c r="L52" s="42" t="n"/>
    </row>
  </sheetData>
  <mergeCells count="34">
    <mergeCell ref="D49:I49"/>
    <mergeCell ref="J29:K29"/>
    <mergeCell ref="D22:E22"/>
    <mergeCell ref="D48:I48"/>
    <mergeCell ref="J28:K28"/>
    <mergeCell ref="D31:H31"/>
    <mergeCell ref="D7:L7"/>
    <mergeCell ref="J30:K30"/>
    <mergeCell ref="J22:L22"/>
    <mergeCell ref="D27:H27"/>
    <mergeCell ref="C34:L34"/>
    <mergeCell ref="J27:K27"/>
    <mergeCell ref="D32:H32"/>
    <mergeCell ref="C24:L24"/>
    <mergeCell ref="H52:I52"/>
    <mergeCell ref="J26:K26"/>
    <mergeCell ref="K52:L52"/>
    <mergeCell ref="J32:K32"/>
    <mergeCell ref="J25:K25"/>
    <mergeCell ref="D28:H28"/>
    <mergeCell ref="D50:I50"/>
    <mergeCell ref="J31:K31"/>
    <mergeCell ref="C47:L47"/>
    <mergeCell ref="J48:L50"/>
    <mergeCell ref="C1:L1"/>
    <mergeCell ref="D30:H30"/>
    <mergeCell ref="D25:H25"/>
    <mergeCell ref="C40:L40"/>
    <mergeCell ref="C9:L9"/>
    <mergeCell ref="D29:H29"/>
    <mergeCell ref="D52:F52"/>
    <mergeCell ref="C2:L2"/>
    <mergeCell ref="D6:L6"/>
    <mergeCell ref="D26:H26"/>
  </mergeCells>
  <dataValidations count="5">
    <dataValidation sqref="I26:I32" showDropDown="0" showInputMessage="0" showErrorMessage="0" allowBlank="1" type="list">
      <formula1>"충족,미충족"</formula1>
    </dataValidation>
    <dataValidation sqref="L26:L32" showDropDown="0" showInputMessage="0" showErrorMessage="0" allowBlank="1" type="list">
      <formula1>"합격,보완,불합격"</formula1>
    </dataValidation>
    <dataValidation sqref="K42:K45 L36:L38" showDropDown="0" showInputMessage="0" showErrorMessage="0" allowBlank="1" type="list">
      <formula1>"승인,보류,반려"</formula1>
    </dataValidation>
    <dataValidation sqref="K52" showDropDown="0" showInputMessage="0" showErrorMessage="0" allowBlank="1" type="list">
      <formula1>"합격,조건부합격,보완요청,불합격"</formula1>
    </dataValidation>
    <dataValidation sqref="G12:G21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2026-07-19T09:58:31Z</dcterms:modified>
  <cp:lastModifiedBy>서창환</cp:lastModifiedBy>
  <cp:revision>0</cp:revision>
</cp:coreProperties>
</file>