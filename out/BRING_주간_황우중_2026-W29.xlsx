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7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inlineStr">
        <is>
          <t>BE-2026-W29-01</t>
        </is>
      </c>
      <c r="D4" s="4" t="inlineStr">
        <is>
          <t>주차</t>
        </is>
      </c>
      <c r="E4" s="47" t="inlineStr">
        <is>
          <t>2026-W29</t>
        </is>
      </c>
      <c r="F4" s="4" t="inlineStr">
        <is>
          <t>대상기간</t>
        </is>
      </c>
      <c r="G4" s="47" t="inlineStr">
        <is>
          <t>07-13(월)~07-17(금)</t>
        </is>
      </c>
      <c r="H4" s="4" t="inlineStr">
        <is>
          <t>보고기한</t>
        </is>
      </c>
      <c r="I4" s="47" t="inlineStr">
        <is>
          <t>07-17(금) 17:00</t>
        </is>
      </c>
      <c r="J4" s="4" t="inlineStr">
        <is>
          <t>접수확인 기한</t>
        </is>
      </c>
      <c r="K4" s="47" t="inlineStr">
        <is>
          <t>07-13(월) 12:00</t>
        </is>
      </c>
    </row>
    <row r="5" ht="19.5" customFormat="1" customHeight="1" s="39">
      <c r="B5" s="35" t="inlineStr">
        <is>
          <t>수신 (담당자)</t>
        </is>
      </c>
      <c r="C5" s="110" t="inlineStr">
        <is>
          <t>황 우 중</t>
        </is>
      </c>
      <c r="D5" s="35" t="inlineStr">
        <is>
          <t>소속/직무</t>
        </is>
      </c>
      <c r="E5" s="110" t="inlineStr">
        <is>
          <t>연구개발팀 / 하드웨어 설계·제작 담당 주임</t>
        </is>
      </c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inlineStr">
        <is>
          <t>BRING은 노후 건물의 실내환경, 창호 상태 및 에너지 데이터를 수집하여 디지털 트윈과 Building AI에 활용하기 위한 건물 센서 시스템을 개발하고 있다. 현재 방 1개와 창호 1~2개를 대상으로 하는 PoC의 센서 종류와 기본 구성은 정리되었으나, 실제 구매·조립·설치·데이터 전송이 가능한 하드웨어 설계가 확정되지 않았다.</t>
        </is>
      </c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inlineStr">
        <is>
          <t>ESP32 센서 노드와 Raspberry Pi 게이트웨이로 구성된 건물 데이터 수집 하드웨어의 제작 사양을 확정한다.</t>
        </is>
      </c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inlineStr">
        <is>
          <t>센서 구매와 시제품 제작이 지연되어 디지털 트윈 데이터 수집, 결로 분석, 창호 성능 비교 및 Building AI 개발 일정이 연쇄적으로 지연되며, 부품 재구매와 재설계 비용이 발생한다.</t>
        </is>
      </c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inlineStr">
        <is>
          <t>건물 센서 시스템 전체 아키텍처 설계</t>
        </is>
      </c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inlineStr">
        <is>
          <t>실내·실외 ESP32 센서 노드 설계</t>
        </is>
      </c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inlineStr">
        <is>
          <t>SHT45·DS18B20·리드스위치 연결 설계</t>
        </is>
      </c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inlineStr">
        <is>
          <t>Raspberry Pi 게이트웨이 및 DB 연동 구조 설계</t>
        </is>
      </c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inlineStr">
        <is>
          <t>BOM·구매처·예상비용 정리</t>
        </is>
      </c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inlineStr">
        <is>
          <t>조립·설치·시험 계획 수립</t>
        </is>
      </c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n"/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n"/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inlineStr">
        <is>
          <t>· AI 예측모델 개발
· 관리자 웹 대시보드 개발
· 건물 전체 센서 설치
· PCB 양산설계
· 금형 및 양산용 케이스 제작
· CO₂·미세먼지·누수·구조 센서 추가 개발</t>
        </is>
      </c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inlineStr">
        <is>
          <t>· 실내 ESP32 1대와 실외 ESP32 1대를 기본 구성으로 한다
· SHT45 2개, DS18B20 4개, 리드스위치 2개를 우선 적용한다
· 통신은 Wi-Fi 기반으로 설계한다
· 데이터는 Raspberry Pi를 거쳐 DB에 저장하는 구조로 설계한다
· 1차 PoC 대상은 방 1개와 창호 1~2개로 한정한다</t>
        </is>
      </c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inlineStr">
        <is>
          <t>센서 종류, 통신방식, 제어보드, 전원방식 또는 PoC 대상 공간을 변경할 경우 변경 사유·비용·일정 영향을 문서화하여 대표 승인 후 반영한다.</t>
        </is>
      </c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inlineStr">
        <is>
          <t>건물 센서 시스템 전체 아키텍처 설계</t>
        </is>
      </c>
      <c r="D28" s="47" t="inlineStr">
        <is>
          <t>실내 센서 노드, 실외 센서 노드, Raspberry Pi 게이트웨이, 데이터베이스 및 디지털 트윈 간의 전체 연결 구조와 데이터 흐름을 정의한다.</t>
        </is>
      </c>
      <c r="E28" s="1" t="inlineStr">
        <is>
          <t>① 실내 ESP32·실외 ESP32·Raspberry Pi·DB가 포함된 시스템 블록다이어그램 1개 작성
② 각 장치의 입력 데이터·출력 데이터·통신방식·전원방식을 표로 정리
③ 센서 측정부터 DB 저장까지의 데이터 흐름을 1개 이상의 시퀀스 또는 흐름도로 작성</t>
        </is>
      </c>
      <c r="F28" s="47" t="inlineStr">
        <is>
          <t>01_황우중_시스템아키텍처_W29_v1.pdf</t>
        </is>
      </c>
      <c r="G28" s="6" t="inlineStr">
        <is>
          <t>브링 구글 드라이브</t>
        </is>
      </c>
      <c r="H28" s="107" t="inlineStr">
        <is>
          <t>07-15(수) 18:00</t>
        </is>
      </c>
      <c r="I28" s="47" t="inlineStr">
        <is>
          <t>높음</t>
        </is>
      </c>
      <c r="J28" s="114" t="n">
        <v>6</v>
      </c>
      <c r="K28" s="19" t="n">
        <v>0.2</v>
      </c>
    </row>
    <row r="29" ht="123" customHeight="1" s="49">
      <c r="B29" s="17" t="n">
        <v>2</v>
      </c>
      <c r="C29" s="47" t="inlineStr">
        <is>
          <t>ESP32 실내·실외 센서 모듈 설계</t>
        </is>
      </c>
      <c r="D29" s="47" t="inlineStr">
        <is>
          <t>SHT45, DS18B20, 리드스위치를 ESP32에 연결하여 실제 조립할 수 있도록 핀맵, 배선, 전원 및 설치 구조를 설계한다.</t>
        </is>
      </c>
      <c r="E29" s="1" t="inlineStr">
        <is>
          <t>① 실내 ESP32와 실외 ESP32 각각의 GPIO 핀맵을 작성하고 핀 중복 여부를 검토
② SHT45 I2C, DS18B20 OneWire, 리드스위치 디지털 입력을 포함한 배선도 2종 작성
③ 센서별 전압·소비전류·저항·커넥터·케이블 길이·방수 필요등급을 표로 정리
④ 실내 모듈과 실외 모듈의 조립 예상도 또는 케이스 배치도 각각 1개 작성</t>
        </is>
      </c>
      <c r="F29" s="47" t="inlineStr">
        <is>
          <t>02_황우중_ESP32센서모듈설계_W29_v1.pdf</t>
        </is>
      </c>
      <c r="G29" s="6" t="inlineStr">
        <is>
          <t>브링 구글 드라이브</t>
        </is>
      </c>
      <c r="H29" s="107" t="inlineStr">
        <is>
          <t>07-16(목) 18:00</t>
        </is>
      </c>
      <c r="I29" s="47" t="inlineStr">
        <is>
          <t>높음</t>
        </is>
      </c>
      <c r="J29" s="114" t="n">
        <v>10</v>
      </c>
      <c r="K29" s="19" t="n">
        <v>0.3</v>
      </c>
    </row>
    <row r="30" ht="84" customHeight="1" s="49">
      <c r="B30" s="17" t="n">
        <v>3</v>
      </c>
      <c r="C30" s="47" t="inlineStr">
        <is>
          <t>하드웨어 BOM 및 구매계획 작성</t>
        </is>
      </c>
      <c r="D30" s="47" t="inlineStr">
        <is>
          <t>센서 시제품 1세트를 제작하는 데 필요한 전자부품, 전원부품, 케이블, 커넥터, 케이스 및 설치 부자재를 확정한다.</t>
        </is>
      </c>
      <c r="E30" s="1" t="inlineStr">
        <is>
          <t>① 품목명·제조사·모델명·사양·수량·단가·구매처·구매링크·납기·대체품 항목을 포함한 BOM 작성
② 필수 구매품과 선택 구매품을 구분하고 총예산을 각각 산출
③ 실내·실외 모듈 1세트 제작 기준 누락 부품 여부를 체크리스트로 검토
④ 동일 기능 대체품을 핵심 센서별 최소 1개 이상 제시</t>
        </is>
      </c>
      <c r="F30" s="47" t="inlineStr">
        <is>
          <t>03_황우중_하드웨어BOM_W29_v1.xlsx</t>
        </is>
      </c>
      <c r="G30" s="6" t="inlineStr">
        <is>
          <t>브링 구글 드라이브</t>
        </is>
      </c>
      <c r="H30" s="107" t="inlineStr">
        <is>
          <t>07-16(목) 18:00</t>
        </is>
      </c>
      <c r="I30" s="47" t="inlineStr">
        <is>
          <t>높음</t>
        </is>
      </c>
      <c r="J30" s="114" t="n">
        <v>4</v>
      </c>
      <c r="K30" s="19" t="n">
        <v>0.15</v>
      </c>
    </row>
    <row r="31" ht="90" customHeight="1" s="49">
      <c r="B31" s="17" t="n">
        <v>4</v>
      </c>
      <c r="C31" s="47" t="inlineStr">
        <is>
          <t>Raspberry Pi 게이트웨이 및 DB 연동 구조 설계</t>
        </is>
      </c>
      <c r="D31" s="47" t="inlineStr">
        <is>
          <t>ESP32에서 전송된 센서 데이터를 Raspberry Pi가 수신하고 데이터베이스에 저장할 수 있도록 통신·저장 구조를 정의한다.</t>
        </is>
      </c>
      <c r="E31" s="1" t="inlineStr">
        <is>
          <t>① ESP32와 Raspberry Pi 사이의 MQTT 또는 HTTP 통신방식을 비교하고 최종 적용안 1개 선정
② timestamp·building_id·room_id·window_id·sensor_id·metric·value·unit 필드를 포함한 데이터 패킷 예시 작성
③ Raspberry Pi 수신 프로세스, 임시저장, DB 전송 및 통신장애 시 재전송 흐름을 도식화
④ 1분·5분 수집주기 기준 일일 예상 데이터 건수와 저장용량을 계산하여 표로 제출</t>
        </is>
      </c>
      <c r="F31" s="47" t="inlineStr">
        <is>
          <t>04_황우중_RaspberryPi_DB구조_W29_v1.pdf</t>
        </is>
      </c>
      <c r="G31" s="108" t="inlineStr">
        <is>
          <t>브링 구글 드라이브</t>
        </is>
      </c>
      <c r="H31" s="107" t="inlineStr">
        <is>
          <t>07-17(금) 15:00</t>
        </is>
      </c>
      <c r="I31" s="47" t="inlineStr">
        <is>
          <t>높음</t>
        </is>
      </c>
      <c r="J31" s="114" t="n">
        <v>7</v>
      </c>
      <c r="K31" s="19" t="n">
        <v>0.2</v>
      </c>
    </row>
    <row r="32" ht="69" customHeight="1" s="49">
      <c r="B32" s="17" t="n">
        <v>5</v>
      </c>
      <c r="C32" s="47" t="inlineStr">
        <is>
          <t>시제품 제작·설치·통합시험 계획 수립</t>
        </is>
      </c>
      <c r="D32" s="47" t="inlineStr">
        <is>
          <t>부품 입고 후 센서 모듈을 조립하고 현장에 설치하여 데이터 수집 성능을 검증할 수 있도록 제작 및 시험 절차를 수립한다.</t>
        </is>
      </c>
      <c r="E32" s="1" t="inlineStr">
        <is>
          <t>① 부품검수→단품시험→배선→케이스 조립→통신시험→현장설치 순서의 제작 절차 작성
② SHT45 온습도, DS18B20 표면온도, 리드스위치 개폐상태, Wi-Fi 통신, DB 저장을 포함한 시험항목 최소 10개 작성
③ 연속 6시간 데이터 수집, 데이터 수집률 95% 이상, 센서 누락값 5% 이하를 통합시험 합격기준으로 설정
④ 예상 고장모드·원인·대응방법을 최소 5개 정리하고 다음 주 제작 일정표 작성</t>
        </is>
      </c>
      <c r="F32" s="47" t="inlineStr">
        <is>
          <t>05_황우중_제작설치시험계획_W29_v1.pdf</t>
        </is>
      </c>
      <c r="G32" s="108" t="inlineStr">
        <is>
          <t>브링 구글 드라이브</t>
        </is>
      </c>
      <c r="H32" s="107" t="inlineStr">
        <is>
          <t>07-17(금) 18:00</t>
        </is>
      </c>
      <c r="I32" s="47" t="inlineStr">
        <is>
          <t>보통</t>
        </is>
      </c>
      <c r="J32" s="114" t="n">
        <v>5</v>
      </c>
      <c r="K32" s="19" t="n">
        <v>0.15</v>
      </c>
    </row>
    <row r="33" ht="69" customHeight="1" s="49">
      <c r="B33" s="45" t="inlineStr">
        <is>
          <t>합계</t>
        </is>
      </c>
      <c r="C33" s="51" t="n"/>
      <c r="D33" s="41" t="n"/>
      <c r="E33" s="41" t="n"/>
      <c r="F33" s="41" t="n"/>
      <c r="G33" s="41" t="n"/>
      <c r="H33" s="41" t="n"/>
      <c r="I33" s="42" t="n"/>
      <c r="J33" s="115">
        <f>SUM(J28:J32)</f>
        <v/>
      </c>
      <c r="K33" s="21">
        <f>SUM(K28:K32)</f>
        <v/>
      </c>
    </row>
    <row r="34" ht="24" customHeight="1" s="49">
      <c r="B34" s="45" t="inlineStr">
        <is>
          <t>발행 검증</t>
        </is>
      </c>
      <c r="C34" s="116">
        <f>IF(COUNTA(C28:C32)=0,"업무 미입력",IF(COUNTA(E28:E32)&lt;COUNTA(C28:C32),"발행 불가 — 완료기준 누락 업무 있음",IF(COUNTA(F28:F32)&lt;COUNTA(C28:C32),"발행 불가 — 산출물 누락 업무 있음",IF(SUM(K28:K32)&lt;&gt;1,"발행 불가 — 가중치 합계 "&amp;TEXT(SUM(K28:K32),"0%")&amp;" (100% 필요)","발행 가능 — 완료기준·산출물·가중치 충족"))))</f>
        <v/>
      </c>
      <c r="D34" s="41" t="n"/>
      <c r="E34" s="41" t="n"/>
      <c r="F34" s="41" t="n"/>
      <c r="G34" s="41" t="n"/>
      <c r="H34" s="41" t="n"/>
      <c r="I34" s="41" t="n"/>
      <c r="J34" s="41" t="n"/>
      <c r="K34" s="42" t="n"/>
    </row>
    <row r="35" ht="24" customHeight="1" s="49"/>
    <row r="36" ht="24" customHeight="1" s="49"/>
    <row r="37" ht="18" customHeight="1" s="49">
      <c r="B37" s="89" t="inlineStr">
        <is>
          <t>담당자 접수확인  —  월요일 12:00까지 담당자 직접 작성 (미작성 = 업무 미이해로 간주, 재지시)</t>
        </is>
      </c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</row>
    <row r="38" ht="36" customHeight="1" s="49">
      <c r="B38" s="45" t="inlineStr">
        <is>
          <t>내가 이해한 업무
(본인 언어로 재작성)</t>
        </is>
      </c>
      <c r="C38" s="117" t="n"/>
      <c r="D38" s="41" t="n"/>
      <c r="E38" s="41" t="n"/>
      <c r="F38" s="41" t="n"/>
      <c r="G38" s="41" t="n"/>
      <c r="H38" s="41" t="n"/>
      <c r="I38" s="41" t="n"/>
      <c r="J38" s="41" t="n"/>
      <c r="K38" s="42" t="n"/>
    </row>
    <row r="39" ht="19.5" customHeight="1" s="49">
      <c r="B39" s="45" t="inlineStr">
        <is>
          <t>완료기준 재확인
(무엇이 되면 끝인가)</t>
        </is>
      </c>
      <c r="C39" s="118" t="n"/>
      <c r="D39" s="41" t="n"/>
      <c r="E39" s="41" t="n"/>
      <c r="F39" s="41" t="n"/>
      <c r="G39" s="41" t="n"/>
      <c r="H39" s="41" t="n"/>
      <c r="I39" s="41" t="n"/>
      <c r="J39" s="41" t="n"/>
      <c r="K39" s="42" t="n"/>
    </row>
    <row r="40" ht="24" customHeight="1" s="49">
      <c r="B40" s="45" t="inlineStr">
        <is>
          <t>예상 리스크
(막힐 것 같은 지점)</t>
        </is>
      </c>
      <c r="C40" s="43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24" customHeight="1" s="49">
      <c r="B41" s="45" t="inlineStr">
        <is>
          <t>필요한 지원·의사결정</t>
        </is>
      </c>
      <c r="C41" s="43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실행 계획 (요일 배분)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접수 확인 일시 / 서명</t>
        </is>
      </c>
      <c r="C43" s="47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/>
    <row r="45" ht="24" customHeight="1" s="49">
      <c r="B45" s="4" t="inlineStr">
        <is>
          <t>결   재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2" t="n"/>
    </row>
    <row r="46" ht="24" customHeight="1" s="49">
      <c r="B46" s="45" t="inlineStr">
        <is>
          <t>구분</t>
        </is>
      </c>
      <c r="C46" s="45" t="inlineStr">
        <is>
          <t>작성 (지시자)</t>
        </is>
      </c>
      <c r="D46" s="42" t="n"/>
      <c r="E46" s="45" t="inlineStr">
        <is>
          <t>검토 (검수자)</t>
        </is>
      </c>
      <c r="F46" s="42" t="n"/>
      <c r="G46" s="45" t="inlineStr">
        <is>
          <t>승인 (대표)</t>
        </is>
      </c>
      <c r="H46" s="42" t="n"/>
      <c r="I46" s="45" t="inlineStr">
        <is>
          <t>접수 (담당자)</t>
        </is>
      </c>
      <c r="J46" s="42" t="n"/>
      <c r="K46" s="45" t="inlineStr">
        <is>
          <t>일자</t>
        </is>
      </c>
    </row>
    <row r="47">
      <c r="B47" s="45" t="inlineStr">
        <is>
          <t>서명</t>
        </is>
      </c>
      <c r="C47" s="47" t="inlineStr">
        <is>
          <t>서 창 환</t>
        </is>
      </c>
      <c r="D47" s="42" t="n"/>
      <c r="E47" s="47" t="inlineStr">
        <is>
          <t>서 창 환</t>
        </is>
      </c>
      <c r="F47" s="42" t="n"/>
      <c r="G47" s="47" t="inlineStr">
        <is>
          <t>서 창 환</t>
        </is>
      </c>
      <c r="H47" s="42" t="n"/>
      <c r="I47" s="47" t="inlineStr">
        <is>
          <t>황 우 중</t>
        </is>
      </c>
      <c r="J47" s="42" t="n"/>
      <c r="K47" s="109" t="inlineStr">
        <is>
          <t>2026-07-13</t>
        </is>
      </c>
    </row>
    <row r="48" ht="19.5" customHeight="1" s="49"/>
    <row r="49" ht="21.75" customHeight="1" s="49"/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10:K10"/>
    <mergeCell ref="C41:K41"/>
    <mergeCell ref="C15:J15"/>
    <mergeCell ref="I46:J46"/>
    <mergeCell ref="C24:J24"/>
    <mergeCell ref="C40:K40"/>
    <mergeCell ref="C9:K9"/>
    <mergeCell ref="C14:J14"/>
    <mergeCell ref="C43:K43"/>
    <mergeCell ref="B45:K45"/>
    <mergeCell ref="C47:D47"/>
    <mergeCell ref="I47:J47"/>
    <mergeCell ref="C20:J20"/>
    <mergeCell ref="B26:K26"/>
    <mergeCell ref="C16:J16"/>
    <mergeCell ref="B7:K7"/>
    <mergeCell ref="C39:K39"/>
    <mergeCell ref="C8:K8"/>
    <mergeCell ref="C22:J22"/>
    <mergeCell ref="C33:I33"/>
    <mergeCell ref="B14:B21"/>
    <mergeCell ref="C38:K38"/>
    <mergeCell ref="C46:D46"/>
    <mergeCell ref="C21:J21"/>
    <mergeCell ref="E46:F46"/>
    <mergeCell ref="B12:K12"/>
    <mergeCell ref="B2:K2"/>
    <mergeCell ref="C34:K34"/>
    <mergeCell ref="C23:J23"/>
    <mergeCell ref="C17:J17"/>
    <mergeCell ref="B1:K1"/>
    <mergeCell ref="G47:H47"/>
    <mergeCell ref="C42:K42"/>
    <mergeCell ref="G46:H46"/>
    <mergeCell ref="C19:J19"/>
    <mergeCell ref="C13:J13"/>
    <mergeCell ref="C18:J18"/>
    <mergeCell ref="E47:F47"/>
    <mergeCell ref="B37:K37"/>
  </mergeCells>
  <dataValidations count="1">
    <dataValidation sqref="I28:I32" showDropDown="0" showInputMessage="0" showErrorMessage="0" allowBlank="1" type="list">
      <formula1>"높음,보통,낮음"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L47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SUMPRODUCT(F12:F16,H12:H16)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SUM('01_업무지시서'!J28:J32)</f>
        <v/>
      </c>
      <c r="I5" s="4" t="inlineStr">
        <is>
          <t>실제 h</t>
        </is>
      </c>
      <c r="J5" s="119">
        <f>SUM(I12:I16)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15" customHeight="1" s="49">
      <c r="C17" s="45" t="inlineStr">
        <is>
          <t>합계</t>
        </is>
      </c>
      <c r="D17" s="45" t="inlineStr">
        <is>
          <t>가중 달성률 →</t>
        </is>
      </c>
      <c r="E17" s="42" t="n"/>
      <c r="F17" s="21">
        <f>SUM(F12:F16)</f>
        <v/>
      </c>
      <c r="G17" s="28">
        <f>SUMPRODUCT(F12:F16,H12:H16)</f>
        <v/>
      </c>
      <c r="H17" s="29">
        <f>COUNTIF(G12:G16,"완료")</f>
        <v/>
      </c>
      <c r="I17" s="115">
        <f>SUM(I12:I16)</f>
        <v/>
      </c>
      <c r="J17" s="69">
        <f>"완료 "&amp;COUNTIF(G12:G16,"완료")&amp;"건 / 진행중 "&amp;COUNTIF(G12:G16,"진행중")&amp;"건 / 미착수 "&amp;COUNTIF(G12:G16,"미착수")&amp;"건"</f>
        <v/>
      </c>
      <c r="K17" s="41" t="n"/>
      <c r="L17" s="42" t="n"/>
    </row>
    <row r="18" ht="24" customHeight="1" s="49">
      <c r="C18" s="46" t="n"/>
      <c r="D18" s="46" t="n"/>
      <c r="I18" s="46" t="n"/>
      <c r="J18" s="46" t="n"/>
      <c r="L18" s="46" t="n"/>
    </row>
    <row r="19" ht="19.5" customHeight="1" s="49">
      <c r="C19" s="121" t="inlineStr">
        <is>
          <t>2. 자가 검수  —  제출 전 §4 검수기준으로 본인이 먼저 점검</t>
        </is>
      </c>
      <c r="D19" s="64" t="n"/>
      <c r="E19" s="64" t="n"/>
      <c r="F19" s="64" t="n"/>
      <c r="G19" s="64" t="n"/>
      <c r="H19" s="64" t="n"/>
      <c r="I19" s="64" t="n"/>
      <c r="J19" s="64" t="n"/>
      <c r="K19" s="64" t="n"/>
      <c r="L19" s="65" t="n"/>
    </row>
    <row r="20" ht="24" customHeight="1" s="49">
      <c r="C20" s="46" t="inlineStr">
        <is>
          <t>검수 항목 (자동)</t>
        </is>
      </c>
      <c r="D20" s="46" t="inlineStr">
        <is>
          <t>검수 질문 (자동)</t>
        </is>
      </c>
      <c r="E20" s="41" t="n"/>
      <c r="F20" s="41" t="n"/>
      <c r="G20" s="41" t="n"/>
      <c r="H20" s="42" t="n"/>
      <c r="I20" s="46" t="inlineStr">
        <is>
          <t>자가
판정</t>
        </is>
      </c>
      <c r="J20" s="46" t="inlineStr">
        <is>
          <t>미충족 사유·보완 계획</t>
        </is>
      </c>
      <c r="K20" s="42" t="n"/>
      <c r="L20" s="46" t="inlineStr">
        <is>
          <t>검수자
판정</t>
        </is>
      </c>
    </row>
    <row r="21" ht="24" customHeight="1" s="49">
      <c r="C21" s="69" t="n"/>
      <c r="D21" s="55" t="n"/>
      <c r="E21" s="41" t="n"/>
      <c r="F21" s="41" t="n"/>
      <c r="G21" s="41" t="n"/>
      <c r="H21" s="42" t="n"/>
      <c r="I21" s="47" t="n"/>
      <c r="J21" s="44" t="n"/>
      <c r="K21" s="42" t="n"/>
      <c r="L21" s="66" t="n"/>
    </row>
    <row r="22" ht="24" customHeight="1" s="49">
      <c r="C22" s="69" t="n"/>
      <c r="D22" s="55" t="n"/>
      <c r="E22" s="41" t="n"/>
      <c r="F22" s="41" t="n"/>
      <c r="G22" s="41" t="n"/>
      <c r="H22" s="42" t="n"/>
      <c r="I22" s="47" t="n"/>
      <c r="J22" s="44" t="n"/>
      <c r="K22" s="42" t="n"/>
      <c r="L22" s="66" t="n"/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7.75" customHeight="1" s="49"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</row>
    <row r="29" ht="19.5" customHeight="1" s="49">
      <c r="C29" s="121" t="inlineStr">
        <is>
          <t>3. 이슈 및 지원요청  —  대안 없이 문제만 올리는 보고는 반려</t>
        </is>
      </c>
      <c r="D29" s="64" t="n"/>
      <c r="E29" s="64" t="n"/>
      <c r="F29" s="64" t="n"/>
      <c r="G29" s="64" t="n"/>
      <c r="H29" s="64" t="n"/>
      <c r="I29" s="64" t="n"/>
      <c r="J29" s="64" t="n"/>
      <c r="K29" s="64" t="n"/>
      <c r="L29" s="65" t="n"/>
    </row>
    <row r="30" ht="27.75" customHeight="1" s="49">
      <c r="C30" s="46" t="inlineStr">
        <is>
          <t>구분</t>
        </is>
      </c>
      <c r="D30" s="46" t="inlineStr">
        <is>
          <t>이슈 내용</t>
        </is>
      </c>
      <c r="E30" s="46" t="inlineStr">
        <is>
          <t>영향
(일정/비용/품질)</t>
        </is>
      </c>
      <c r="F30" s="46" t="inlineStr">
        <is>
          <t>근본 원인</t>
        </is>
      </c>
      <c r="G30" s="46" t="inlineStr">
        <is>
          <t>대안 1</t>
        </is>
      </c>
      <c r="H30" s="46" t="inlineStr">
        <is>
          <t>대안 2</t>
        </is>
      </c>
      <c r="I30" s="46" t="inlineStr">
        <is>
          <t>권고안</t>
        </is>
      </c>
      <c r="J30" s="46" t="inlineStr">
        <is>
          <t>요청사항</t>
        </is>
      </c>
      <c r="K30" s="46" t="inlineStr">
        <is>
          <t>결정기한</t>
        </is>
      </c>
      <c r="L30" s="46" t="inlineStr">
        <is>
          <t>대표 결정</t>
        </is>
      </c>
    </row>
    <row r="31" ht="36" customHeight="1" s="49">
      <c r="C31" s="6" t="n"/>
      <c r="D31" s="18" t="n"/>
      <c r="E31" s="6" t="n"/>
      <c r="F31" s="18" t="n"/>
      <c r="G31" s="18" t="n"/>
      <c r="H31" s="18" t="n"/>
      <c r="I31" s="18" t="n"/>
      <c r="J31" s="18" t="n"/>
      <c r="K31" s="6" t="n"/>
      <c r="L31" s="66" t="n"/>
    </row>
    <row r="32" ht="36" customHeight="1" s="49">
      <c r="C32" s="6" t="n"/>
      <c r="D32" s="18" t="n"/>
      <c r="E32" s="6" t="n"/>
      <c r="F32" s="18" t="n"/>
      <c r="G32" s="18" t="n"/>
      <c r="H32" s="18" t="n"/>
      <c r="I32" s="18" t="n"/>
      <c r="J32" s="18" t="n"/>
      <c r="K32" s="6" t="n"/>
      <c r="L32" s="66" t="n"/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27.75" customHeight="1" s="49">
      <c r="C34" s="13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</row>
    <row r="35" ht="19.5" customHeight="1" s="49">
      <c r="C35" s="121" t="inlineStr">
        <is>
          <t>4. 다음 주 제안 업무  —  지시를 기다리지 말 것. 본인이 먼저 제안.</t>
        </is>
      </c>
      <c r="D35" s="64" t="n"/>
      <c r="E35" s="64" t="n"/>
      <c r="F35" s="64" t="n"/>
      <c r="G35" s="64" t="n"/>
      <c r="H35" s="64" t="n"/>
      <c r="I35" s="64" t="n"/>
      <c r="J35" s="64" t="n"/>
      <c r="K35" s="64" t="n"/>
      <c r="L35" s="65" t="n"/>
    </row>
    <row r="36" ht="27.75" customHeight="1" s="49">
      <c r="C36" s="13" t="inlineStr">
        <is>
          <t>No</t>
        </is>
      </c>
      <c r="D36" s="46" t="inlineStr">
        <is>
          <t>제안 업무</t>
        </is>
      </c>
      <c r="E36" s="46" t="inlineStr">
        <is>
          <t>왜 해야 하는가</t>
        </is>
      </c>
      <c r="F36" s="46" t="inlineStr">
        <is>
          <t>완료기준(안)</t>
        </is>
      </c>
      <c r="G36" s="46" t="inlineStr">
        <is>
          <t>예상
소요(h)</t>
        </is>
      </c>
      <c r="H36" s="46" t="inlineStr">
        <is>
          <t>우선순위(안)</t>
        </is>
      </c>
      <c r="I36" s="46" t="inlineStr">
        <is>
          <t>선행 조건</t>
        </is>
      </c>
      <c r="J36" s="46" t="inlineStr">
        <is>
          <t>필요 지원</t>
        </is>
      </c>
      <c r="K36" s="46" t="inlineStr">
        <is>
          <t>대표 승인</t>
        </is>
      </c>
      <c r="L36" s="46" t="inlineStr">
        <is>
          <t>비고</t>
        </is>
      </c>
    </row>
    <row r="37" ht="31.5" customHeight="1" s="49">
      <c r="C37" s="22" t="n">
        <v>1</v>
      </c>
      <c r="D37" s="18" t="n"/>
      <c r="E37" s="18" t="n"/>
      <c r="F37" s="18" t="n"/>
      <c r="G37" s="114" t="n"/>
      <c r="H37" s="6" t="n"/>
      <c r="I37" s="18" t="n"/>
      <c r="J37" s="18" t="n"/>
      <c r="K37" s="66" t="n"/>
      <c r="L37" s="6" t="n"/>
    </row>
    <row r="38" ht="31.5" customHeight="1" s="49">
      <c r="C38" s="22" t="n">
        <v>2</v>
      </c>
      <c r="D38" s="18" t="n"/>
      <c r="E38" s="18" t="n"/>
      <c r="F38" s="18" t="n"/>
      <c r="G38" s="114" t="n"/>
      <c r="H38" s="6" t="n"/>
      <c r="I38" s="18" t="n"/>
      <c r="J38" s="18" t="n"/>
      <c r="K38" s="66" t="n"/>
      <c r="L38" s="6" t="n"/>
    </row>
    <row r="39" ht="31.5" customHeight="1" s="49">
      <c r="C39" s="22" t="n">
        <v>3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4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25.5" customHeight="1" s="49">
      <c r="C41" s="45" t="n"/>
      <c r="D41" s="43" t="n"/>
      <c r="J41" s="58" t="n"/>
    </row>
    <row r="42" ht="19.5" customHeight="1" s="49">
      <c r="C42" s="48" t="inlineStr">
        <is>
          <t>5. 자기점검 및 대표 검수</t>
        </is>
      </c>
    </row>
    <row r="43" ht="25.5" customHeight="1" s="49">
      <c r="C43" s="45" t="inlineStr">
        <is>
          <t>이번 주 가장 잘한 것</t>
        </is>
      </c>
      <c r="D43" s="43" t="inlineStr">
        <is>
          <t>결과로 증명되는 것 1개만</t>
        </is>
      </c>
      <c r="E43" s="41" t="n"/>
      <c r="F43" s="41" t="n"/>
      <c r="G43" s="41" t="n"/>
      <c r="H43" s="41" t="n"/>
      <c r="I43" s="42" t="n"/>
      <c r="J43" s="58" t="inlineStr">
        <is>
          <t>[대표 검수 의견]</t>
        </is>
      </c>
      <c r="K43" s="59" t="n"/>
      <c r="L43" s="60" t="n"/>
    </row>
    <row r="44" ht="25.5" customHeight="1" s="49">
      <c r="C44" s="45" t="inlineStr">
        <is>
          <t>이번 주 가장 부족한 것</t>
        </is>
      </c>
      <c r="D44" s="43" t="inlineStr">
        <is>
          <t>변명 말고 사실만</t>
        </is>
      </c>
      <c r="E44" s="41" t="n"/>
      <c r="F44" s="41" t="n"/>
      <c r="G44" s="41" t="n"/>
      <c r="H44" s="41" t="n"/>
      <c r="I44" s="42" t="n"/>
      <c r="J44" s="61" t="n"/>
      <c r="L44" s="62" t="n"/>
    </row>
    <row r="45" ht="25.5" customHeight="1" s="49">
      <c r="C45" s="45" t="inlineStr">
        <is>
          <t>다음 주 개선 액션 1개</t>
        </is>
      </c>
      <c r="D45" s="43" t="inlineStr">
        <is>
          <t>실행 가능한 행동으로</t>
        </is>
      </c>
      <c r="E45" s="41" t="n"/>
      <c r="F45" s="41" t="n"/>
      <c r="G45" s="41" t="n"/>
      <c r="H45" s="41" t="n"/>
      <c r="I45" s="42" t="n"/>
      <c r="J45" s="63" t="n"/>
      <c r="K45" s="64" t="n"/>
      <c r="L45" s="65" t="n"/>
    </row>
    <row r="47" ht="33.75" customHeight="1" s="49">
      <c r="C47" s="45" t="inlineStr">
        <is>
          <t>제출자</t>
        </is>
      </c>
      <c r="D47" s="47" t="n"/>
      <c r="E47" s="41" t="n"/>
      <c r="F47" s="42" t="n"/>
      <c r="G47" s="45" t="inlineStr">
        <is>
          <t>검수자</t>
        </is>
      </c>
      <c r="H47" s="66" t="n"/>
      <c r="I47" s="42" t="n"/>
      <c r="J47" s="45" t="inlineStr">
        <is>
          <t>최종 판정</t>
        </is>
      </c>
      <c r="K47" s="56" t="n"/>
      <c r="L47" s="42" t="n"/>
    </row>
  </sheetData>
  <mergeCells count="34">
    <mergeCell ref="D20:H20"/>
    <mergeCell ref="D22:H22"/>
    <mergeCell ref="D47:F47"/>
    <mergeCell ref="D7:L7"/>
    <mergeCell ref="D43:I43"/>
    <mergeCell ref="C19:L19"/>
    <mergeCell ref="D21:H21"/>
    <mergeCell ref="K47:L47"/>
    <mergeCell ref="J24:K24"/>
    <mergeCell ref="D27:H27"/>
    <mergeCell ref="J27:K27"/>
    <mergeCell ref="C42:L42"/>
    <mergeCell ref="D17:E17"/>
    <mergeCell ref="J26:K26"/>
    <mergeCell ref="J20:K20"/>
    <mergeCell ref="J25:K25"/>
    <mergeCell ref="C29:L29"/>
    <mergeCell ref="C35:L35"/>
    <mergeCell ref="J43:L45"/>
    <mergeCell ref="J17:L17"/>
    <mergeCell ref="D44:I44"/>
    <mergeCell ref="J22:K22"/>
    <mergeCell ref="H47:I47"/>
    <mergeCell ref="C1:L1"/>
    <mergeCell ref="J21:K21"/>
    <mergeCell ref="D25:H25"/>
    <mergeCell ref="C9:L9"/>
    <mergeCell ref="D24:H24"/>
    <mergeCell ref="D45:I45"/>
    <mergeCell ref="D23:H23"/>
    <mergeCell ref="J23:K23"/>
    <mergeCell ref="C2:L2"/>
    <mergeCell ref="D6:L6"/>
    <mergeCell ref="D26:H26"/>
  </mergeCells>
  <dataValidations count="5">
    <dataValidation sqref="I21:I27" showDropDown="0" showInputMessage="0" showErrorMessage="0" allowBlank="1" type="list">
      <formula1>"충족,미충족"</formula1>
    </dataValidation>
    <dataValidation sqref="L21:L27" showDropDown="0" showInputMessage="0" showErrorMessage="0" allowBlank="1" type="list">
      <formula1>"합격,보완,불합격"</formula1>
    </dataValidation>
    <dataValidation sqref="K37:K40 L31:L33" showDropDown="0" showInputMessage="0" showErrorMessage="0" allowBlank="1" type="list">
      <formula1>"승인,보류,반려"</formula1>
    </dataValidation>
    <dataValidation sqref="K47" showDropDown="0" showInputMessage="0" showErrorMessage="0" allowBlank="1" type="list">
      <formula1>"합격,조건부합격,보완요청,불합격"</formula1>
    </dataValidation>
    <dataValidation sqref="G12:G16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2026-07-14T07:41:45Z</dcterms:modified>
  <cp:lastModifiedBy>서창환</cp:lastModifiedBy>
  <cp:revision>0</cp:revision>
</cp:coreProperties>
</file>