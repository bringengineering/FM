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시보드" sheetId="1" state="visible" r:id="rId1"/>
    <sheet name="설정" sheetId="2" state="visible" r:id="rId2"/>
    <sheet name="과업입력" sheetId="3" state="visible" r:id="rId3"/>
    <sheet name="우선순위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+0;-0;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color rgb="001F2A44"/>
    </font>
    <font>
      <color rgb="005B6472"/>
      <sz val="9"/>
    </font>
    <font>
      <b val="1"/>
      <color rgb="00FFFFFF"/>
      <sz val="11"/>
    </font>
    <font>
      <b val="1"/>
      <color rgb="00FFFFFF"/>
      <sz val="16"/>
    </font>
    <font>
      <color rgb="005B6472"/>
      <sz val="10"/>
    </font>
    <font>
      <b val="1"/>
      <color rgb="005B6472"/>
      <sz val="10"/>
    </font>
    <font>
      <b val="1"/>
      <color rgb="001F2A44"/>
      <sz val="12"/>
    </font>
    <font>
      <b val="1"/>
      <color rgb="00FFFFFF"/>
      <sz val="10"/>
    </font>
    <font>
      <color rgb="001F2A44"/>
      <sz val="10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F5BEA"/>
      </patternFill>
    </fill>
    <fill>
      <patternFill patternType="solid">
        <fgColor rgb="00FEF6E0"/>
      </patternFill>
    </fill>
    <fill>
      <patternFill patternType="solid">
        <fgColor rgb="001E7F4F"/>
      </patternFill>
    </fill>
    <fill>
      <patternFill patternType="solid">
        <fgColor rgb="00F2F4F8"/>
      </patternFill>
    </fill>
    <fill>
      <patternFill patternType="solid">
        <fgColor rgb="005B6472"/>
      </patternFill>
    </fill>
  </fills>
  <borders count="2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6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9" fontId="8" fillId="6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5" borderId="0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4F5EC"/>
        </patternFill>
      </fill>
    </dxf>
    <dxf>
      <font>
        <b val="1"/>
        <color rgb="00C0392B"/>
      </font>
      <fill>
        <patternFill patternType="solid">
          <fgColor rgb="00FCE8E6"/>
        </patternFill>
      </fill>
    </dxf>
    <dxf>
      <font>
        <b val="1"/>
        <color rgb="00B8860B"/>
      </font>
      <fill>
        <patternFill patternType="solid">
          <fgColor rgb="00FEF6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3" customWidth="1" min="4" max="4"/>
    <col width="12" customWidth="1" min="5" max="5"/>
    <col width="11" customWidth="1" min="6" max="6"/>
    <col width="12" customWidth="1" min="7" max="7"/>
    <col width="12" customWidth="1" min="8" max="8"/>
  </cols>
  <sheetData>
    <row r="1" ht="40" customHeight="1">
      <c r="A1" s="1" t="inlineStr">
        <is>
          <t>📊  브링FM 프로젝트 현황 대시보드</t>
        </is>
      </c>
    </row>
    <row r="2">
      <c r="A2" s="2" t="inlineStr">
        <is>
          <t>대상 주차: 2026년 7월 2주차 (7/6~7/12)</t>
        </is>
      </c>
      <c r="E2" s="3" t="inlineStr">
        <is>
          <t>기준일:</t>
        </is>
      </c>
      <c r="F2" s="4">
        <f>TODAY()</f>
        <v/>
      </c>
    </row>
    <row r="4">
      <c r="A4" s="5" t="inlineStr">
        <is>
          <t>①  정량 지표 (Quantitative)</t>
        </is>
      </c>
    </row>
    <row r="5">
      <c r="A5" s="6" t="inlineStr">
        <is>
          <t>총 과업</t>
        </is>
      </c>
      <c r="B5" s="7">
        <f>COUNTA(과업입력!$A$3:$A$52)</f>
        <v/>
      </c>
      <c r="D5" s="6" t="inlineStr">
        <is>
          <t>총 예상공수(h)</t>
        </is>
      </c>
      <c r="E5" s="7">
        <f>SUM(과업입력!$G$3:$G$52)</f>
        <v/>
      </c>
    </row>
    <row r="6">
      <c r="A6" s="6" t="inlineStr">
        <is>
          <t>완료</t>
        </is>
      </c>
      <c r="B6" s="7">
        <f>COUNTIF(과업입력!$H$3:$H$52,"완료")</f>
        <v/>
      </c>
      <c r="D6" s="6" t="inlineStr">
        <is>
          <t>완료 공수(h)</t>
        </is>
      </c>
      <c r="E6" s="7">
        <f>SUMIF(과업입력!$H$3:$H$52,"완료",과업입력!$G$3:$G$52)</f>
        <v/>
      </c>
    </row>
    <row r="7">
      <c r="A7" s="6" t="inlineStr">
        <is>
          <t>진행중</t>
        </is>
      </c>
      <c r="B7" s="7">
        <f>COUNTIF(과업입력!$H$3:$H$52,"진행중")</f>
        <v/>
      </c>
      <c r="D7" s="6" t="inlineStr">
        <is>
          <t>잔여 공수(h)</t>
        </is>
      </c>
      <c r="E7" s="7">
        <f>E5-E6</f>
        <v/>
      </c>
    </row>
    <row r="8">
      <c r="A8" s="6" t="inlineStr">
        <is>
          <t>대기</t>
        </is>
      </c>
      <c r="B8" s="7">
        <f>COUNTIF(과업입력!$H$3:$H$52,"대기")</f>
        <v/>
      </c>
      <c r="D8" s="6" t="inlineStr">
        <is>
          <t>🔴 P1 과업</t>
        </is>
      </c>
      <c r="E8" s="7">
        <f>COUNTIF(과업입력!$K$3:$K$52,"🔴 P1")</f>
        <v/>
      </c>
    </row>
    <row r="9">
      <c r="A9" s="6" t="inlineStr">
        <is>
          <t>보류</t>
        </is>
      </c>
      <c r="B9" s="7">
        <f>COUNTIF(과업입력!$H$3:$H$52,"보류")</f>
        <v/>
      </c>
      <c r="D9" s="6" t="inlineStr">
        <is>
          <t>🟡 P2 과업</t>
        </is>
      </c>
      <c r="E9" s="7">
        <f>COUNTIF(과업입력!$K$3:$K$52,"🟡 P2")</f>
        <v/>
      </c>
    </row>
    <row r="10">
      <c r="A10" s="6" t="inlineStr">
        <is>
          <t>완료율</t>
        </is>
      </c>
      <c r="B10" s="8">
        <f>IFERROR(B6/B5,0)</f>
        <v/>
      </c>
      <c r="D10" s="6" t="inlineStr">
        <is>
          <t>🟢 P3 과업</t>
        </is>
      </c>
      <c r="E10" s="7">
        <f>COUNTIF(과업입력!$K$3:$K$52,"🟢 P3")</f>
        <v/>
      </c>
    </row>
    <row r="11">
      <c r="A11" s="6" t="inlineStr">
        <is>
          <t>평균 진척률(%)</t>
        </is>
      </c>
      <c r="B11" s="9">
        <f>IFERROR(AVERAGEIF(과업입력!$A$3:$A$52,"&lt;&gt;",과업입력!$I$3:$I$52),0)</f>
        <v/>
      </c>
      <c r="D11" s="6" t="inlineStr">
        <is>
          <t>미완료 과업</t>
        </is>
      </c>
      <c r="E11" s="7">
        <f>B5-B6</f>
        <v/>
      </c>
    </row>
    <row r="12">
      <c r="A12" s="6" t="inlineStr">
        <is>
          <t>지연(마감초과·미완료)</t>
        </is>
      </c>
      <c r="B12" s="7">
        <f>COUNTIFS(과업입력!$L$3:$L$52,"&lt;0",과업입력!$H$3:$H$52,"&lt;&gt;완료")</f>
        <v/>
      </c>
      <c r="D12" s="6" t="inlineStr">
        <is>
          <t>오늘 마감(미완료)</t>
        </is>
      </c>
      <c r="E12" s="7">
        <f>COUNTIFS(과업입력!$L$3:$L$52,0,과업입력!$H$3:$H$52,"&lt;&gt;완료")</f>
        <v/>
      </c>
    </row>
    <row r="14">
      <c r="A14" s="5" t="inlineStr">
        <is>
          <t>②  카테고리별 현황</t>
        </is>
      </c>
      <c r="G14" s="5" t="inlineStr">
        <is>
          <t>③  담당자별 부하</t>
        </is>
      </c>
    </row>
    <row r="15">
      <c r="A15" s="10" t="inlineStr">
        <is>
          <t>카테고리</t>
        </is>
      </c>
      <c r="B15" s="10" t="inlineStr">
        <is>
          <t>과업수</t>
        </is>
      </c>
      <c r="C15" s="10" t="inlineStr">
        <is>
          <t>완료</t>
        </is>
      </c>
      <c r="D15" s="10" t="inlineStr">
        <is>
          <t>완료율</t>
        </is>
      </c>
      <c r="E15" s="10" t="inlineStr">
        <is>
          <t>예상공수(h)</t>
        </is>
      </c>
      <c r="G15" s="10" t="inlineStr">
        <is>
          <t>담당자</t>
        </is>
      </c>
      <c r="H15" s="10" t="inlineStr">
        <is>
          <t>미완료</t>
        </is>
      </c>
      <c r="I15" s="10" t="inlineStr">
        <is>
          <t>잔여공수(h)</t>
        </is>
      </c>
    </row>
    <row r="16">
      <c r="A16" s="11" t="inlineStr">
        <is>
          <t>기획</t>
        </is>
      </c>
      <c r="B16" s="12">
        <f>COUNTIF(과업입력!$C$3:$C$52,A16)</f>
        <v/>
      </c>
      <c r="C16" s="12">
        <f>COUNTIFS(과업입력!$C$3:$C$52,A16,과업입력!$H$3:$H$52,"완료")</f>
        <v/>
      </c>
      <c r="D16" s="13">
        <f>IFERROR(C16/B16,0)</f>
        <v/>
      </c>
      <c r="E16" s="12">
        <f>SUMIF(과업입력!$C$3:$C$52,A16,과업입력!$G$3:$G$52)</f>
        <v/>
      </c>
      <c r="G16" s="11" t="inlineStr">
        <is>
          <t>김지훈</t>
        </is>
      </c>
      <c r="H16" s="12">
        <f>COUNTIFS(과업입력!$B$3:$B$52,G16,과업입력!$H$3:$H$52,"&lt;&gt;완료")</f>
        <v/>
      </c>
      <c r="I16" s="12">
        <f>SUMIFS(과업입력!$G$3:$G$52,과업입력!$B$3:$B$52,G16,과업입력!$H$3:$H$52,"&lt;&gt;완료")</f>
        <v/>
      </c>
    </row>
    <row r="17">
      <c r="A17" s="11" t="inlineStr">
        <is>
          <t>개발</t>
        </is>
      </c>
      <c r="B17" s="12">
        <f>COUNTIF(과업입력!$C$3:$C$52,A17)</f>
        <v/>
      </c>
      <c r="C17" s="12">
        <f>COUNTIFS(과업입력!$C$3:$C$52,A17,과업입력!$H$3:$H$52,"완료")</f>
        <v/>
      </c>
      <c r="D17" s="13">
        <f>IFERROR(C17/B17,0)</f>
        <v/>
      </c>
      <c r="E17" s="12">
        <f>SUMIF(과업입력!$C$3:$C$52,A17,과업입력!$G$3:$G$52)</f>
        <v/>
      </c>
      <c r="G17" s="11" t="inlineStr">
        <is>
          <t>박서연</t>
        </is>
      </c>
      <c r="H17" s="12">
        <f>COUNTIFS(과업입력!$B$3:$B$52,G17,과업입력!$H$3:$H$52,"&lt;&gt;완료")</f>
        <v/>
      </c>
      <c r="I17" s="12">
        <f>SUMIFS(과업입력!$G$3:$G$52,과업입력!$B$3:$B$52,G17,과업입력!$H$3:$H$52,"&lt;&gt;완료")</f>
        <v/>
      </c>
    </row>
    <row r="18">
      <c r="A18" s="11" t="inlineStr">
        <is>
          <t>디자인</t>
        </is>
      </c>
      <c r="B18" s="12">
        <f>COUNTIF(과업입력!$C$3:$C$52,A18)</f>
        <v/>
      </c>
      <c r="C18" s="12">
        <f>COUNTIFS(과업입력!$C$3:$C$52,A18,과업입력!$H$3:$H$52,"완료")</f>
        <v/>
      </c>
      <c r="D18" s="13">
        <f>IFERROR(C18/B18,0)</f>
        <v/>
      </c>
      <c r="E18" s="12">
        <f>SUMIF(과업입력!$C$3:$C$52,A18,과업입력!$G$3:$G$52)</f>
        <v/>
      </c>
      <c r="G18" s="11" t="inlineStr">
        <is>
          <t>이도현</t>
        </is>
      </c>
      <c r="H18" s="12">
        <f>COUNTIFS(과업입력!$B$3:$B$52,G18,과업입력!$H$3:$H$52,"&lt;&gt;완료")</f>
        <v/>
      </c>
      <c r="I18" s="12">
        <f>SUMIFS(과업입력!$G$3:$G$52,과업입력!$B$3:$B$52,G18,과업입력!$H$3:$H$52,"&lt;&gt;완료")</f>
        <v/>
      </c>
    </row>
    <row r="19">
      <c r="A19" s="11" t="inlineStr">
        <is>
          <t>마케팅</t>
        </is>
      </c>
      <c r="B19" s="12">
        <f>COUNTIF(과업입력!$C$3:$C$52,A19)</f>
        <v/>
      </c>
      <c r="C19" s="12">
        <f>COUNTIFS(과업입력!$C$3:$C$52,A19,과업입력!$H$3:$H$52,"완료")</f>
        <v/>
      </c>
      <c r="D19" s="13">
        <f>IFERROR(C19/B19,0)</f>
        <v/>
      </c>
      <c r="E19" s="12">
        <f>SUMIF(과업입력!$C$3:$C$52,A19,과업입력!$G$3:$G$52)</f>
        <v/>
      </c>
      <c r="G19" s="11" t="inlineStr">
        <is>
          <t>최유진</t>
        </is>
      </c>
      <c r="H19" s="12">
        <f>COUNTIFS(과업입력!$B$3:$B$52,G19,과업입력!$H$3:$H$52,"&lt;&gt;완료")</f>
        <v/>
      </c>
      <c r="I19" s="12">
        <f>SUMIFS(과업입력!$G$3:$G$52,과업입력!$B$3:$B$52,G19,과업입력!$H$3:$H$52,"&lt;&gt;완료")</f>
        <v/>
      </c>
    </row>
    <row r="20">
      <c r="A20" s="11" t="inlineStr">
        <is>
          <t>리서치</t>
        </is>
      </c>
      <c r="B20" s="12">
        <f>COUNTIF(과업입력!$C$3:$C$52,A20)</f>
        <v/>
      </c>
      <c r="C20" s="12">
        <f>COUNTIFS(과업입력!$C$3:$C$52,A20,과업입력!$H$3:$H$52,"완료")</f>
        <v/>
      </c>
      <c r="D20" s="13">
        <f>IFERROR(C20/B20,0)</f>
        <v/>
      </c>
      <c r="E20" s="12">
        <f>SUMIF(과업입력!$C$3:$C$52,A20,과업입력!$G$3:$G$52)</f>
        <v/>
      </c>
      <c r="G20" s="11" t="inlineStr">
        <is>
          <t>정하늘</t>
        </is>
      </c>
      <c r="H20" s="12">
        <f>COUNTIFS(과업입력!$B$3:$B$52,G20,과업입력!$H$3:$H$52,"&lt;&gt;완료")</f>
        <v/>
      </c>
      <c r="I20" s="12">
        <f>SUMIFS(과업입력!$G$3:$G$52,과업입력!$B$3:$B$52,G20,과업입력!$H$3:$H$52,"&lt;&gt;완료")</f>
        <v/>
      </c>
    </row>
    <row r="21">
      <c r="A21" s="11" t="inlineStr">
        <is>
          <t>운영</t>
        </is>
      </c>
      <c r="B21" s="12">
        <f>COUNTIF(과업입력!$C$3:$C$52,A21)</f>
        <v/>
      </c>
      <c r="C21" s="12">
        <f>COUNTIFS(과업입력!$C$3:$C$52,A21,과업입력!$H$3:$H$52,"완료")</f>
        <v/>
      </c>
      <c r="D21" s="13">
        <f>IFERROR(C21/B21,0)</f>
        <v/>
      </c>
      <c r="E21" s="12">
        <f>SUMIF(과업입력!$C$3:$C$52,A21,과업입력!$G$3:$G$52)</f>
        <v/>
      </c>
    </row>
    <row r="22">
      <c r="A22" s="11" t="inlineStr">
        <is>
          <t>기타</t>
        </is>
      </c>
      <c r="B22" s="12">
        <f>COUNTIF(과업입력!$C$3:$C$52,A22)</f>
        <v/>
      </c>
      <c r="C22" s="12">
        <f>COUNTIFS(과업입력!$C$3:$C$52,A22,과업입력!$H$3:$H$52,"완료")</f>
        <v/>
      </c>
      <c r="D22" s="13">
        <f>IFERROR(C22/B22,0)</f>
        <v/>
      </c>
      <c r="E22" s="12">
        <f>SUMIF(과업입력!$C$3:$C$52,A22,과업입력!$G$3:$G$52)</f>
        <v/>
      </c>
    </row>
    <row r="25">
      <c r="A25" s="5" t="inlineStr">
        <is>
          <t>④  정성 요약 (Qualitative)</t>
        </is>
      </c>
    </row>
    <row r="26" ht="28" customHeight="1">
      <c r="A26" s="14" t="inlineStr">
        <is>
          <t>한 줄 브리핑</t>
        </is>
      </c>
      <c r="B26" s="15">
        <f>"총 "&amp;B5&amp;"건 · 완료 "&amp;B6&amp;"건("&amp;TEXT(B10,"0%")&amp;") · 진행중 "&amp;B7&amp;"건 · 대기 "&amp;B8&amp;"건 · 🔴지연 "&amp;B12&amp;"건"</f>
        <v/>
      </c>
    </row>
    <row r="27" ht="28" customHeight="1">
      <c r="A27" s="14" t="inlineStr">
        <is>
          <t>이번 주 최우선(Top3)</t>
        </is>
      </c>
      <c r="B27" s="15">
        <f>IFERROR(우선순위ToDo!C3&amp;" ["&amp;우선순위ToDo!L3&amp;"] / "&amp;우선순위ToDo!C4&amp;" ["&amp;우선순위ToDo!L4&amp;"] / "&amp;우선순위ToDo!C5&amp;" ["&amp;우선순위ToDo!L5&amp;"],"—")</f>
        <v/>
      </c>
    </row>
    <row r="28" ht="28" customHeight="1">
      <c r="A28" s="14" t="inlineStr">
        <is>
          <t>⚠️ 지연 리스크</t>
        </is>
      </c>
      <c r="B28" s="15">
        <f>IFERROR(TEXTJOIN(" · ",TRUE,FILTER(과업입력!$A$3:$A$52,(과업입력!$L$3:$L$52&lt;0)*(과업입력!$H$3:$H$52&lt;&gt;"완료"))),"없음 👍")</f>
        <v/>
      </c>
    </row>
    <row r="29" ht="28" customHeight="1">
      <c r="A29" s="14" t="inlineStr">
        <is>
          <t>오늘/내일 마감</t>
        </is>
      </c>
      <c r="B29" s="15">
        <f>IFERROR(TEXTJOIN(" · ",TRUE,FILTER(과업입력!$A$3:$A$52,(과업입력!$L$3:$L$52&gt;=0)*(과업입력!$L$3:$L$52&lt;=1)*(과업입력!$H$3:$H$52&lt;&gt;"완료"))),"없음")</f>
        <v/>
      </c>
    </row>
    <row r="30" ht="28" customHeight="1">
      <c r="A30" s="14" t="inlineStr">
        <is>
          <t>메모 모아보기</t>
        </is>
      </c>
      <c r="B30" s="15">
        <f>IFERROR(TEXTJOIN("  |  ",TRUE,FILTER(과업입력!A3:A52&amp;" — "&amp;과업입력!M3:M52,(과업입력!A3:A52&lt;&gt;"")*(과업입력!M3:M52&lt;&gt;""))),"—")</f>
        <v/>
      </c>
    </row>
  </sheetData>
  <mergeCells count="6">
    <mergeCell ref="B26:H26"/>
    <mergeCell ref="B27:H27"/>
    <mergeCell ref="B30:H30"/>
    <mergeCell ref="B29:H29"/>
    <mergeCell ref="A1:H1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3" customWidth="1" min="2" max="2"/>
    <col width="14" customWidth="1" min="3" max="3"/>
    <col width="3" customWidth="1" min="4" max="4"/>
    <col width="14" customWidth="1" min="5" max="5"/>
  </cols>
  <sheetData>
    <row r="1">
      <c r="A1" s="16" t="inlineStr">
        <is>
          <t>카테고리</t>
        </is>
      </c>
      <c r="C1" s="16" t="inlineStr">
        <is>
          <t>진행상태</t>
        </is>
      </c>
      <c r="E1" s="16" t="inlineStr">
        <is>
          <t>담당자</t>
        </is>
      </c>
    </row>
    <row r="2">
      <c r="A2" t="inlineStr">
        <is>
          <t>기획</t>
        </is>
      </c>
      <c r="C2" t="inlineStr">
        <is>
          <t>대기</t>
        </is>
      </c>
      <c r="E2" t="inlineStr">
        <is>
          <t>김지훈</t>
        </is>
      </c>
    </row>
    <row r="3">
      <c r="A3" t="inlineStr">
        <is>
          <t>개발</t>
        </is>
      </c>
      <c r="C3" t="inlineStr">
        <is>
          <t>진행중</t>
        </is>
      </c>
      <c r="E3" t="inlineStr">
        <is>
          <t>박서연</t>
        </is>
      </c>
    </row>
    <row r="4">
      <c r="A4" t="inlineStr">
        <is>
          <t>디자인</t>
        </is>
      </c>
      <c r="C4" t="inlineStr">
        <is>
          <t>완료</t>
        </is>
      </c>
      <c r="E4" t="inlineStr">
        <is>
          <t>이도현</t>
        </is>
      </c>
    </row>
    <row r="5">
      <c r="A5" t="inlineStr">
        <is>
          <t>마케팅</t>
        </is>
      </c>
      <c r="C5" t="inlineStr">
        <is>
          <t>보류</t>
        </is>
      </c>
      <c r="E5" t="inlineStr">
        <is>
          <t>최유진</t>
        </is>
      </c>
    </row>
    <row r="6">
      <c r="A6" t="inlineStr">
        <is>
          <t>리서치</t>
        </is>
      </c>
      <c r="E6" t="inlineStr">
        <is>
          <t>정하늘</t>
        </is>
      </c>
    </row>
    <row r="7">
      <c r="A7" t="inlineStr">
        <is>
          <t>운영</t>
        </is>
      </c>
    </row>
    <row r="8">
      <c r="A8" t="inlineStr">
        <is>
          <t>기타</t>
        </is>
      </c>
    </row>
    <row r="10">
      <c r="A10" s="17" t="inlineStr">
        <is>
          <t>우선순위 산정식</t>
        </is>
      </c>
    </row>
    <row r="11">
      <c r="A11" s="18" t="inlineStr">
        <is>
          <t>점수 = 중요도×3 + 긴급도×3 + 마감가중(최대15) − 진척감점(최대5)</t>
        </is>
      </c>
    </row>
    <row r="12">
      <c r="A12" s="18" t="inlineStr">
        <is>
          <t>등급: 🔴P1 ≥30 · 🟡P2 ≥18 · 🟢P3 &lt;18 · ✅완료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7" customWidth="1" min="4" max="4"/>
    <col width="7" customWidth="1" min="5" max="5"/>
    <col width="12" customWidth="1" min="6" max="6"/>
    <col width="9" customWidth="1" min="7" max="7"/>
    <col width="10" customWidth="1" min="8" max="8"/>
    <col width="8" customWidth="1" min="9" max="9"/>
    <col width="9" customWidth="1" min="10" max="10"/>
    <col width="9" customWidth="1" min="11" max="11"/>
    <col width="8" customWidth="1" min="12" max="12"/>
    <col width="30" customWidth="1" min="13" max="13"/>
  </cols>
  <sheetData>
    <row r="1" ht="24" customHeight="1">
      <c r="A1" s="19" t="inlineStr">
        <is>
          <t>✍️  과업 입력  —  2026년 7월 2주차 (7/6 ~ 7/12)   ※ 흰색 칸만 입력하면 노란색 칸은 자동 계산됩니다</t>
        </is>
      </c>
    </row>
    <row r="2" ht="30" customHeight="1">
      <c r="A2" s="16" t="inlineStr">
        <is>
          <t>과업명</t>
        </is>
      </c>
      <c r="B2" s="16" t="inlineStr">
        <is>
          <t>담당자</t>
        </is>
      </c>
      <c r="C2" s="16" t="inlineStr">
        <is>
          <t>카테고리</t>
        </is>
      </c>
      <c r="D2" s="16" t="inlineStr">
        <is>
          <t>중요도
(1-5)</t>
        </is>
      </c>
      <c r="E2" s="16" t="inlineStr">
        <is>
          <t>긴급도
(1-5)</t>
        </is>
      </c>
      <c r="F2" s="16" t="inlineStr">
        <is>
          <t>마감일</t>
        </is>
      </c>
      <c r="G2" s="16" t="inlineStr">
        <is>
          <t>예상공수
(h)</t>
        </is>
      </c>
      <c r="H2" s="16" t="inlineStr">
        <is>
          <t>진행상태</t>
        </is>
      </c>
      <c r="I2" s="16" t="inlineStr">
        <is>
          <t>진척률
(%)</t>
        </is>
      </c>
      <c r="J2" s="16" t="inlineStr">
        <is>
          <t>우선순위
점수</t>
        </is>
      </c>
      <c r="K2" s="16" t="inlineStr">
        <is>
          <t>등급</t>
        </is>
      </c>
      <c r="L2" s="16" t="inlineStr">
        <is>
          <t>D-Day</t>
        </is>
      </c>
      <c r="M2" s="16" t="inlineStr">
        <is>
          <t>비고/메모</t>
        </is>
      </c>
    </row>
    <row r="3">
      <c r="A3" s="11" t="inlineStr">
        <is>
          <t>앱 온보딩 플로우 개선</t>
        </is>
      </c>
      <c r="B3" s="12" t="inlineStr">
        <is>
          <t>김지훈</t>
        </is>
      </c>
      <c r="C3" s="12" t="inlineStr">
        <is>
          <t>개발</t>
        </is>
      </c>
      <c r="D3" s="12" t="n">
        <v>5</v>
      </c>
      <c r="E3" s="12" t="n">
        <v>4</v>
      </c>
      <c r="F3" s="20" t="n">
        <v>46215</v>
      </c>
      <c r="G3" s="12" t="n">
        <v>16</v>
      </c>
      <c r="H3" s="12" t="inlineStr">
        <is>
          <t>진행중</t>
        </is>
      </c>
      <c r="I3" s="12" t="n">
        <v>60</v>
      </c>
      <c r="J3" s="21">
        <f>IF($A3="","",IF($H3="완료",0,$D3*3+$E3*3+IF($F3="",0,MAX(0,15-MAX(0,$L3)))-($I3/100)*5))</f>
        <v/>
      </c>
      <c r="K3" s="22">
        <f>IF($A3="","",IF($H3="완료","✅완료",IF($J3&gt;=30,"🔴 P1",IF($J3&gt;=18,"🟡 P2","🟢 P3"))))</f>
        <v/>
      </c>
      <c r="L3" s="23">
        <f>IF($F3="","",$F3-TODAY())</f>
        <v/>
      </c>
      <c r="M3" s="11" t="inlineStr">
        <is>
          <t>이탈 지점 A/B 테스트 병행</t>
        </is>
      </c>
    </row>
    <row r="4">
      <c r="A4" s="11" t="inlineStr">
        <is>
          <t>투자 IR 자료 v2 작성</t>
        </is>
      </c>
      <c r="B4" s="12" t="inlineStr">
        <is>
          <t>박서연</t>
        </is>
      </c>
      <c r="C4" s="12" t="inlineStr">
        <is>
          <t>기획</t>
        </is>
      </c>
      <c r="D4" s="12" t="n">
        <v>5</v>
      </c>
      <c r="E4" s="12" t="n">
        <v>5</v>
      </c>
      <c r="F4" s="20" t="n">
        <v>46213</v>
      </c>
      <c r="G4" s="12" t="n">
        <v>8</v>
      </c>
      <c r="H4" s="12" t="inlineStr">
        <is>
          <t>진행중</t>
        </is>
      </c>
      <c r="I4" s="12" t="n">
        <v>40</v>
      </c>
      <c r="J4" s="21">
        <f>IF($A4="","",IF($H4="완료",0,$D4*3+$E4*3+IF($F4="",0,MAX(0,15-MAX(0,$L4)))-($I4/100)*5))</f>
        <v/>
      </c>
      <c r="K4" s="22">
        <f>IF($A4="","",IF($H4="완료","✅완료",IF($J4&gt;=30,"🔴 P1",IF($J4&gt;=18,"🟡 P2","🟢 P3"))))</f>
        <v/>
      </c>
      <c r="L4" s="23">
        <f>IF($F4="","",$F4-TODAY())</f>
        <v/>
      </c>
      <c r="M4" s="11" t="inlineStr">
        <is>
          <t>⚠️ 마감 초과, 대표 리뷰 대기</t>
        </is>
      </c>
    </row>
    <row r="5">
      <c r="A5" s="11" t="inlineStr">
        <is>
          <t>결제 모듈 QA</t>
        </is>
      </c>
      <c r="B5" s="12" t="inlineStr">
        <is>
          <t>박서연</t>
        </is>
      </c>
      <c r="C5" s="12" t="inlineStr">
        <is>
          <t>개발</t>
        </is>
      </c>
      <c r="D5" s="12" t="n">
        <v>5</v>
      </c>
      <c r="E5" s="12" t="n">
        <v>5</v>
      </c>
      <c r="F5" s="20" t="n">
        <v>46212</v>
      </c>
      <c r="G5" s="12" t="n">
        <v>8</v>
      </c>
      <c r="H5" s="12" t="inlineStr">
        <is>
          <t>진행중</t>
        </is>
      </c>
      <c r="I5" s="12" t="n">
        <v>50</v>
      </c>
      <c r="J5" s="21">
        <f>IF($A5="","",IF($H5="완료",0,$D5*3+$E5*3+IF($F5="",0,MAX(0,15-MAX(0,$L5)))-($I5/100)*5))</f>
        <v/>
      </c>
      <c r="K5" s="22">
        <f>IF($A5="","",IF($H5="완료","✅완료",IF($J5&gt;=30,"🔴 P1",IF($J5&gt;=18,"🟡 P2","🟢 P3"))))</f>
        <v/>
      </c>
      <c r="L5" s="23">
        <f>IF($F5="","",$F5-TODAY())</f>
        <v/>
      </c>
      <c r="M5" s="11" t="inlineStr">
        <is>
          <t>⚠️ 결제 실패 케이스 2건 남음</t>
        </is>
      </c>
    </row>
    <row r="6">
      <c r="A6" s="11" t="inlineStr">
        <is>
          <t>7월 콘텐츠 캘린더 확정</t>
        </is>
      </c>
      <c r="B6" s="12" t="inlineStr">
        <is>
          <t>정하늘</t>
        </is>
      </c>
      <c r="C6" s="12" t="inlineStr">
        <is>
          <t>마케팅</t>
        </is>
      </c>
      <c r="D6" s="12" t="n">
        <v>3</v>
      </c>
      <c r="E6" s="12" t="n">
        <v>4</v>
      </c>
      <c r="F6" s="20" t="n">
        <v>46214</v>
      </c>
      <c r="G6" s="12" t="n">
        <v>4</v>
      </c>
      <c r="H6" s="12" t="inlineStr">
        <is>
          <t>진행중</t>
        </is>
      </c>
      <c r="I6" s="12" t="n">
        <v>80</v>
      </c>
      <c r="J6" s="21">
        <f>IF($A6="","",IF($H6="완료",0,$D6*3+$E6*3+IF($F6="",0,MAX(0,15-MAX(0,$L6)))-($I6/100)*5))</f>
        <v/>
      </c>
      <c r="K6" s="22">
        <f>IF($A6="","",IF($H6="완료","✅완료",IF($J6&gt;=30,"🔴 P1",IF($J6&gt;=18,"🟡 P2","🟢 P3"))))</f>
        <v/>
      </c>
      <c r="L6" s="23">
        <f>IF($F6="","",$F6-TODAY())</f>
        <v/>
      </c>
      <c r="M6" s="11" t="inlineStr">
        <is>
          <t>오늘 마감, 채널별 배분만 확정하면 완료</t>
        </is>
      </c>
    </row>
    <row r="7">
      <c r="A7" s="11" t="inlineStr">
        <is>
          <t>사용자 인터뷰 5명 진행</t>
        </is>
      </c>
      <c r="B7" s="12" t="inlineStr">
        <is>
          <t>이도현</t>
        </is>
      </c>
      <c r="C7" s="12" t="inlineStr">
        <is>
          <t>리서치</t>
        </is>
      </c>
      <c r="D7" s="12" t="n">
        <v>4</v>
      </c>
      <c r="E7" s="12" t="n">
        <v>3</v>
      </c>
      <c r="F7" s="20" t="n">
        <v>46218</v>
      </c>
      <c r="G7" s="12" t="n">
        <v>10</v>
      </c>
      <c r="H7" s="12" t="inlineStr">
        <is>
          <t>대기</t>
        </is>
      </c>
      <c r="I7" s="12" t="n">
        <v>0</v>
      </c>
      <c r="J7" s="21">
        <f>IF($A7="","",IF($H7="완료",0,$D7*3+$E7*3+IF($F7="",0,MAX(0,15-MAX(0,$L7)))-($I7/100)*5))</f>
        <v/>
      </c>
      <c r="K7" s="22">
        <f>IF($A7="","",IF($H7="완료","✅완료",IF($J7&gt;=30,"🔴 P1",IF($J7&gt;=18,"🟡 P2","🟢 P3"))))</f>
        <v/>
      </c>
      <c r="L7" s="23">
        <f>IF($F7="","",$F7-TODAY())</f>
        <v/>
      </c>
      <c r="M7" s="11" t="inlineStr">
        <is>
          <t>리크루팅 3명 완료</t>
        </is>
      </c>
    </row>
    <row r="8">
      <c r="A8" s="11" t="inlineStr">
        <is>
          <t>브랜드 키비주얼 시안</t>
        </is>
      </c>
      <c r="B8" s="12" t="inlineStr">
        <is>
          <t>최유진</t>
        </is>
      </c>
      <c r="C8" s="12" t="inlineStr">
        <is>
          <t>디자인</t>
        </is>
      </c>
      <c r="D8" s="12" t="n">
        <v>3</v>
      </c>
      <c r="E8" s="12" t="n">
        <v>3</v>
      </c>
      <c r="F8" s="20" t="n">
        <v>46217</v>
      </c>
      <c r="G8" s="12" t="n">
        <v>12</v>
      </c>
      <c r="H8" s="12" t="inlineStr">
        <is>
          <t>진행중</t>
        </is>
      </c>
      <c r="I8" s="12" t="n">
        <v>30</v>
      </c>
      <c r="J8" s="21">
        <f>IF($A8="","",IF($H8="완료",0,$D8*3+$E8*3+IF($F8="",0,MAX(0,15-MAX(0,$L8)))-($I8/100)*5))</f>
        <v/>
      </c>
      <c r="K8" s="22">
        <f>IF($A8="","",IF($H8="완료","✅완료",IF($J8&gt;=30,"🔴 P1",IF($J8&gt;=18,"🟡 P2","🟢 P3"))))</f>
        <v/>
      </c>
      <c r="L8" s="23">
        <f>IF($F8="","",$F8-TODAY())</f>
        <v/>
      </c>
      <c r="M8" s="11" t="inlineStr">
        <is>
          <t>1차 시안 내부 공유</t>
        </is>
      </c>
    </row>
    <row r="9">
      <c r="A9" s="11" t="inlineStr">
        <is>
          <t>서버 비용 최적화</t>
        </is>
      </c>
      <c r="B9" s="12" t="inlineStr">
        <is>
          <t>김지훈</t>
        </is>
      </c>
      <c r="C9" s="12" t="inlineStr">
        <is>
          <t>운영</t>
        </is>
      </c>
      <c r="D9" s="12" t="n">
        <v>4</v>
      </c>
      <c r="E9" s="12" t="n">
        <v>2</v>
      </c>
      <c r="F9" s="20" t="n">
        <v>46223</v>
      </c>
      <c r="G9" s="12" t="n">
        <v>6</v>
      </c>
      <c r="H9" s="12" t="inlineStr">
        <is>
          <t>대기</t>
        </is>
      </c>
      <c r="I9" s="12" t="n">
        <v>0</v>
      </c>
      <c r="J9" s="21">
        <f>IF($A9="","",IF($H9="완료",0,$D9*3+$E9*3+IF($F9="",0,MAX(0,15-MAX(0,$L9)))-($I9/100)*5))</f>
        <v/>
      </c>
      <c r="K9" s="22">
        <f>IF($A9="","",IF($H9="완료","✅완료",IF($J9&gt;=30,"🔴 P1",IF($J9&gt;=18,"🟡 P2","🟢 P3"))))</f>
        <v/>
      </c>
      <c r="L9" s="23">
        <f>IF($F9="","",$F9-TODAY())</f>
        <v/>
      </c>
      <c r="M9" s="11" t="inlineStr">
        <is>
          <t>트래픽 로그 분석 선행 필요</t>
        </is>
      </c>
    </row>
    <row r="10">
      <c r="A10" s="11" t="inlineStr">
        <is>
          <t>랜딩페이지 카피 수정</t>
        </is>
      </c>
      <c r="B10" s="12" t="inlineStr">
        <is>
          <t>정하늘</t>
        </is>
      </c>
      <c r="C10" s="12" t="inlineStr">
        <is>
          <t>마케팅</t>
        </is>
      </c>
      <c r="D10" s="12" t="n">
        <v>2</v>
      </c>
      <c r="E10" s="12" t="n">
        <v>2</v>
      </c>
      <c r="F10" s="20" t="n">
        <v>46211</v>
      </c>
      <c r="G10" s="12" t="n">
        <v>3</v>
      </c>
      <c r="H10" s="12" t="inlineStr">
        <is>
          <t>완료</t>
        </is>
      </c>
      <c r="I10" s="12" t="n">
        <v>100</v>
      </c>
      <c r="J10" s="21">
        <f>IF($A10="","",IF($H10="완료",0,$D10*3+$E10*3+IF($F10="",0,MAX(0,15-MAX(0,$L10)))-($I10/100)*5))</f>
        <v/>
      </c>
      <c r="K10" s="22">
        <f>IF($A10="","",IF($H10="완료","✅완료",IF($J10&gt;=30,"🔴 P1",IF($J10&gt;=18,"🟡 P2","🟢 P3"))))</f>
        <v/>
      </c>
      <c r="L10" s="23">
        <f>IF($F10="","",$F10-TODAY())</f>
        <v/>
      </c>
      <c r="M10" s="11" t="inlineStr">
        <is>
          <t>배포 완료</t>
        </is>
      </c>
    </row>
    <row r="11">
      <c r="A11" s="24" t="n"/>
      <c r="B11" s="24" t="n"/>
      <c r="C11" s="24" t="n"/>
      <c r="D11" s="24" t="n"/>
      <c r="E11" s="24" t="n"/>
      <c r="F11" s="25" t="n"/>
      <c r="G11" s="24" t="n"/>
      <c r="H11" s="24" t="n"/>
      <c r="I11" s="24" t="n"/>
      <c r="J11" s="21">
        <f>IF($A11="","",IF($H11="완료",0,$D11*3+$E11*3+IF($F11="",0,MAX(0,15-MAX(0,$L11)))-($I11/100)*5))</f>
        <v/>
      </c>
      <c r="K11" s="22">
        <f>IF($A11="","",IF($H11="완료","✅완료",IF($J11&gt;=30,"🔴 P1",IF($J11&gt;=18,"🟡 P2","🟢 P3"))))</f>
        <v/>
      </c>
      <c r="L11" s="23">
        <f>IF($F11="","",$F11-TODAY())</f>
        <v/>
      </c>
      <c r="M11" s="24" t="n"/>
    </row>
    <row r="12">
      <c r="A12" s="24" t="n"/>
      <c r="B12" s="24" t="n"/>
      <c r="C12" s="24" t="n"/>
      <c r="D12" s="24" t="n"/>
      <c r="E12" s="24" t="n"/>
      <c r="F12" s="25" t="n"/>
      <c r="G12" s="24" t="n"/>
      <c r="H12" s="24" t="n"/>
      <c r="I12" s="24" t="n"/>
      <c r="J12" s="21">
        <f>IF($A12="","",IF($H12="완료",0,$D12*3+$E12*3+IF($F12="",0,MAX(0,15-MAX(0,$L12)))-($I12/100)*5))</f>
        <v/>
      </c>
      <c r="K12" s="22">
        <f>IF($A12="","",IF($H12="완료","✅완료",IF($J12&gt;=30,"🔴 P1",IF($J12&gt;=18,"🟡 P2","🟢 P3"))))</f>
        <v/>
      </c>
      <c r="L12" s="23">
        <f>IF($F12="","",$F12-TODAY())</f>
        <v/>
      </c>
      <c r="M12" s="24" t="n"/>
    </row>
    <row r="13">
      <c r="A13" s="24" t="n"/>
      <c r="B13" s="24" t="n"/>
      <c r="C13" s="24" t="n"/>
      <c r="D13" s="24" t="n"/>
      <c r="E13" s="24" t="n"/>
      <c r="F13" s="25" t="n"/>
      <c r="G13" s="24" t="n"/>
      <c r="H13" s="24" t="n"/>
      <c r="I13" s="24" t="n"/>
      <c r="J13" s="21">
        <f>IF($A13="","",IF($H13="완료",0,$D13*3+$E13*3+IF($F13="",0,MAX(0,15-MAX(0,$L13)))-($I13/100)*5))</f>
        <v/>
      </c>
      <c r="K13" s="22">
        <f>IF($A13="","",IF($H13="완료","✅완료",IF($J13&gt;=30,"🔴 P1",IF($J13&gt;=18,"🟡 P2","🟢 P3"))))</f>
        <v/>
      </c>
      <c r="L13" s="23">
        <f>IF($F13="","",$F13-TODAY())</f>
        <v/>
      </c>
      <c r="M13" s="24" t="n"/>
    </row>
    <row r="14">
      <c r="A14" s="24" t="n"/>
      <c r="B14" s="24" t="n"/>
      <c r="C14" s="24" t="n"/>
      <c r="D14" s="24" t="n"/>
      <c r="E14" s="24" t="n"/>
      <c r="F14" s="25" t="n"/>
      <c r="G14" s="24" t="n"/>
      <c r="H14" s="24" t="n"/>
      <c r="I14" s="24" t="n"/>
      <c r="J14" s="21">
        <f>IF($A14="","",IF($H14="완료",0,$D14*3+$E14*3+IF($F14="",0,MAX(0,15-MAX(0,$L14)))-($I14/100)*5))</f>
        <v/>
      </c>
      <c r="K14" s="22">
        <f>IF($A14="","",IF($H14="완료","✅완료",IF($J14&gt;=30,"🔴 P1",IF($J14&gt;=18,"🟡 P2","🟢 P3"))))</f>
        <v/>
      </c>
      <c r="L14" s="23">
        <f>IF($F14="","",$F14-TODAY())</f>
        <v/>
      </c>
      <c r="M14" s="24" t="n"/>
    </row>
    <row r="15">
      <c r="A15" s="24" t="n"/>
      <c r="B15" s="24" t="n"/>
      <c r="C15" s="24" t="n"/>
      <c r="D15" s="24" t="n"/>
      <c r="E15" s="24" t="n"/>
      <c r="F15" s="25" t="n"/>
      <c r="G15" s="24" t="n"/>
      <c r="H15" s="24" t="n"/>
      <c r="I15" s="24" t="n"/>
      <c r="J15" s="21">
        <f>IF($A15="","",IF($H15="완료",0,$D15*3+$E15*3+IF($F15="",0,MAX(0,15-MAX(0,$L15)))-($I15/100)*5))</f>
        <v/>
      </c>
      <c r="K15" s="22">
        <f>IF($A15="","",IF($H15="완료","✅완료",IF($J15&gt;=30,"🔴 P1",IF($J15&gt;=18,"🟡 P2","🟢 P3"))))</f>
        <v/>
      </c>
      <c r="L15" s="23">
        <f>IF($F15="","",$F15-TODAY())</f>
        <v/>
      </c>
      <c r="M15" s="24" t="n"/>
    </row>
    <row r="16">
      <c r="A16" s="24" t="n"/>
      <c r="B16" s="24" t="n"/>
      <c r="C16" s="24" t="n"/>
      <c r="D16" s="24" t="n"/>
      <c r="E16" s="24" t="n"/>
      <c r="F16" s="25" t="n"/>
      <c r="G16" s="24" t="n"/>
      <c r="H16" s="24" t="n"/>
      <c r="I16" s="24" t="n"/>
      <c r="J16" s="21">
        <f>IF($A16="","",IF($H16="완료",0,$D16*3+$E16*3+IF($F16="",0,MAX(0,15-MAX(0,$L16)))-($I16/100)*5))</f>
        <v/>
      </c>
      <c r="K16" s="22">
        <f>IF($A16="","",IF($H16="완료","✅완료",IF($J16&gt;=30,"🔴 P1",IF($J16&gt;=18,"🟡 P2","🟢 P3"))))</f>
        <v/>
      </c>
      <c r="L16" s="23">
        <f>IF($F16="","",$F16-TODAY())</f>
        <v/>
      </c>
      <c r="M16" s="24" t="n"/>
    </row>
    <row r="17">
      <c r="A17" s="24" t="n"/>
      <c r="B17" s="24" t="n"/>
      <c r="C17" s="24" t="n"/>
      <c r="D17" s="24" t="n"/>
      <c r="E17" s="24" t="n"/>
      <c r="F17" s="25" t="n"/>
      <c r="G17" s="24" t="n"/>
      <c r="H17" s="24" t="n"/>
      <c r="I17" s="24" t="n"/>
      <c r="J17" s="21">
        <f>IF($A17="","",IF($H17="완료",0,$D17*3+$E17*3+IF($F17="",0,MAX(0,15-MAX(0,$L17)))-($I17/100)*5))</f>
        <v/>
      </c>
      <c r="K17" s="22">
        <f>IF($A17="","",IF($H17="완료","✅완료",IF($J17&gt;=30,"🔴 P1",IF($J17&gt;=18,"🟡 P2","🟢 P3"))))</f>
        <v/>
      </c>
      <c r="L17" s="23">
        <f>IF($F17="","",$F17-TODAY())</f>
        <v/>
      </c>
      <c r="M17" s="24" t="n"/>
    </row>
    <row r="18">
      <c r="A18" s="24" t="n"/>
      <c r="B18" s="24" t="n"/>
      <c r="C18" s="24" t="n"/>
      <c r="D18" s="24" t="n"/>
      <c r="E18" s="24" t="n"/>
      <c r="F18" s="25" t="n"/>
      <c r="G18" s="24" t="n"/>
      <c r="H18" s="24" t="n"/>
      <c r="I18" s="24" t="n"/>
      <c r="J18" s="21">
        <f>IF($A18="","",IF($H18="완료",0,$D18*3+$E18*3+IF($F18="",0,MAX(0,15-MAX(0,$L18)))-($I18/100)*5))</f>
        <v/>
      </c>
      <c r="K18" s="22">
        <f>IF($A18="","",IF($H18="완료","✅완료",IF($J18&gt;=30,"🔴 P1",IF($J18&gt;=18,"🟡 P2","🟢 P3"))))</f>
        <v/>
      </c>
      <c r="L18" s="23">
        <f>IF($F18="","",$F18-TODAY())</f>
        <v/>
      </c>
      <c r="M18" s="24" t="n"/>
    </row>
    <row r="19">
      <c r="A19" s="24" t="n"/>
      <c r="B19" s="24" t="n"/>
      <c r="C19" s="24" t="n"/>
      <c r="D19" s="24" t="n"/>
      <c r="E19" s="24" t="n"/>
      <c r="F19" s="25" t="n"/>
      <c r="G19" s="24" t="n"/>
      <c r="H19" s="24" t="n"/>
      <c r="I19" s="24" t="n"/>
      <c r="J19" s="21">
        <f>IF($A19="","",IF($H19="완료",0,$D19*3+$E19*3+IF($F19="",0,MAX(0,15-MAX(0,$L19)))-($I19/100)*5))</f>
        <v/>
      </c>
      <c r="K19" s="22">
        <f>IF($A19="","",IF($H19="완료","✅완료",IF($J19&gt;=30,"🔴 P1",IF($J19&gt;=18,"🟡 P2","🟢 P3"))))</f>
        <v/>
      </c>
      <c r="L19" s="23">
        <f>IF($F19="","",$F19-TODAY())</f>
        <v/>
      </c>
      <c r="M19" s="24" t="n"/>
    </row>
    <row r="20">
      <c r="A20" s="24" t="n"/>
      <c r="B20" s="24" t="n"/>
      <c r="C20" s="24" t="n"/>
      <c r="D20" s="24" t="n"/>
      <c r="E20" s="24" t="n"/>
      <c r="F20" s="25" t="n"/>
      <c r="G20" s="24" t="n"/>
      <c r="H20" s="24" t="n"/>
      <c r="I20" s="24" t="n"/>
      <c r="J20" s="21">
        <f>IF($A20="","",IF($H20="완료",0,$D20*3+$E20*3+IF($F20="",0,MAX(0,15-MAX(0,$L20)))-($I20/100)*5))</f>
        <v/>
      </c>
      <c r="K20" s="22">
        <f>IF($A20="","",IF($H20="완료","✅완료",IF($J20&gt;=30,"🔴 P1",IF($J20&gt;=18,"🟡 P2","🟢 P3"))))</f>
        <v/>
      </c>
      <c r="L20" s="23">
        <f>IF($F20="","",$F20-TODAY())</f>
        <v/>
      </c>
      <c r="M20" s="24" t="n"/>
    </row>
    <row r="21">
      <c r="A21" s="24" t="n"/>
      <c r="B21" s="24" t="n"/>
      <c r="C21" s="24" t="n"/>
      <c r="D21" s="24" t="n"/>
      <c r="E21" s="24" t="n"/>
      <c r="F21" s="25" t="n"/>
      <c r="G21" s="24" t="n"/>
      <c r="H21" s="24" t="n"/>
      <c r="I21" s="24" t="n"/>
      <c r="J21" s="21">
        <f>IF($A21="","",IF($H21="완료",0,$D21*3+$E21*3+IF($F21="",0,MAX(0,15-MAX(0,$L21)))-($I21/100)*5))</f>
        <v/>
      </c>
      <c r="K21" s="22">
        <f>IF($A21="","",IF($H21="완료","✅완료",IF($J21&gt;=30,"🔴 P1",IF($J21&gt;=18,"🟡 P2","🟢 P3"))))</f>
        <v/>
      </c>
      <c r="L21" s="23">
        <f>IF($F21="","",$F21-TODAY())</f>
        <v/>
      </c>
      <c r="M21" s="24" t="n"/>
    </row>
    <row r="22">
      <c r="A22" s="24" t="n"/>
      <c r="B22" s="24" t="n"/>
      <c r="C22" s="24" t="n"/>
      <c r="D22" s="24" t="n"/>
      <c r="E22" s="24" t="n"/>
      <c r="F22" s="25" t="n"/>
      <c r="G22" s="24" t="n"/>
      <c r="H22" s="24" t="n"/>
      <c r="I22" s="24" t="n"/>
      <c r="J22" s="21">
        <f>IF($A22="","",IF($H22="완료",0,$D22*3+$E22*3+IF($F22="",0,MAX(0,15-MAX(0,$L22)))-($I22/100)*5))</f>
        <v/>
      </c>
      <c r="K22" s="22">
        <f>IF($A22="","",IF($H22="완료","✅완료",IF($J22&gt;=30,"🔴 P1",IF($J22&gt;=18,"🟡 P2","🟢 P3"))))</f>
        <v/>
      </c>
      <c r="L22" s="23">
        <f>IF($F22="","",$F22-TODAY())</f>
        <v/>
      </c>
      <c r="M22" s="24" t="n"/>
    </row>
    <row r="23">
      <c r="A23" s="24" t="n"/>
      <c r="B23" s="24" t="n"/>
      <c r="C23" s="24" t="n"/>
      <c r="D23" s="24" t="n"/>
      <c r="E23" s="24" t="n"/>
      <c r="F23" s="25" t="n"/>
      <c r="G23" s="24" t="n"/>
      <c r="H23" s="24" t="n"/>
      <c r="I23" s="24" t="n"/>
      <c r="J23" s="21">
        <f>IF($A23="","",IF($H23="완료",0,$D23*3+$E23*3+IF($F23="",0,MAX(0,15-MAX(0,$L23)))-($I23/100)*5))</f>
        <v/>
      </c>
      <c r="K23" s="22">
        <f>IF($A23="","",IF($H23="완료","✅완료",IF($J23&gt;=30,"🔴 P1",IF($J23&gt;=18,"🟡 P2","🟢 P3"))))</f>
        <v/>
      </c>
      <c r="L23" s="23">
        <f>IF($F23="","",$F23-TODAY())</f>
        <v/>
      </c>
      <c r="M23" s="24" t="n"/>
    </row>
    <row r="24">
      <c r="A24" s="24" t="n"/>
      <c r="B24" s="24" t="n"/>
      <c r="C24" s="24" t="n"/>
      <c r="D24" s="24" t="n"/>
      <c r="E24" s="24" t="n"/>
      <c r="F24" s="25" t="n"/>
      <c r="G24" s="24" t="n"/>
      <c r="H24" s="24" t="n"/>
      <c r="I24" s="24" t="n"/>
      <c r="J24" s="21">
        <f>IF($A24="","",IF($H24="완료",0,$D24*3+$E24*3+IF($F24="",0,MAX(0,15-MAX(0,$L24)))-($I24/100)*5))</f>
        <v/>
      </c>
      <c r="K24" s="22">
        <f>IF($A24="","",IF($H24="완료","✅완료",IF($J24&gt;=30,"🔴 P1",IF($J24&gt;=18,"🟡 P2","🟢 P3"))))</f>
        <v/>
      </c>
      <c r="L24" s="23">
        <f>IF($F24="","",$F24-TODAY())</f>
        <v/>
      </c>
      <c r="M24" s="24" t="n"/>
    </row>
    <row r="25">
      <c r="A25" s="24" t="n"/>
      <c r="B25" s="24" t="n"/>
      <c r="C25" s="24" t="n"/>
      <c r="D25" s="24" t="n"/>
      <c r="E25" s="24" t="n"/>
      <c r="F25" s="25" t="n"/>
      <c r="G25" s="24" t="n"/>
      <c r="H25" s="24" t="n"/>
      <c r="I25" s="24" t="n"/>
      <c r="J25" s="21">
        <f>IF($A25="","",IF($H25="완료",0,$D25*3+$E25*3+IF($F25="",0,MAX(0,15-MAX(0,$L25)))-($I25/100)*5))</f>
        <v/>
      </c>
      <c r="K25" s="22">
        <f>IF($A25="","",IF($H25="완료","✅완료",IF($J25&gt;=30,"🔴 P1",IF($J25&gt;=18,"🟡 P2","🟢 P3"))))</f>
        <v/>
      </c>
      <c r="L25" s="23">
        <f>IF($F25="","",$F25-TODAY())</f>
        <v/>
      </c>
      <c r="M25" s="24" t="n"/>
    </row>
    <row r="26">
      <c r="A26" s="24" t="n"/>
      <c r="B26" s="24" t="n"/>
      <c r="C26" s="24" t="n"/>
      <c r="D26" s="24" t="n"/>
      <c r="E26" s="24" t="n"/>
      <c r="F26" s="25" t="n"/>
      <c r="G26" s="24" t="n"/>
      <c r="H26" s="24" t="n"/>
      <c r="I26" s="24" t="n"/>
      <c r="J26" s="21">
        <f>IF($A26="","",IF($H26="완료",0,$D26*3+$E26*3+IF($F26="",0,MAX(0,15-MAX(0,$L26)))-($I26/100)*5))</f>
        <v/>
      </c>
      <c r="K26" s="22">
        <f>IF($A26="","",IF($H26="완료","✅완료",IF($J26&gt;=30,"🔴 P1",IF($J26&gt;=18,"🟡 P2","🟢 P3"))))</f>
        <v/>
      </c>
      <c r="L26" s="23">
        <f>IF($F26="","",$F26-TODAY())</f>
        <v/>
      </c>
      <c r="M26" s="24" t="n"/>
    </row>
    <row r="27">
      <c r="A27" s="24" t="n"/>
      <c r="B27" s="24" t="n"/>
      <c r="C27" s="24" t="n"/>
      <c r="D27" s="24" t="n"/>
      <c r="E27" s="24" t="n"/>
      <c r="F27" s="25" t="n"/>
      <c r="G27" s="24" t="n"/>
      <c r="H27" s="24" t="n"/>
      <c r="I27" s="24" t="n"/>
      <c r="J27" s="21">
        <f>IF($A27="","",IF($H27="완료",0,$D27*3+$E27*3+IF($F27="",0,MAX(0,15-MAX(0,$L27)))-($I27/100)*5))</f>
        <v/>
      </c>
      <c r="K27" s="22">
        <f>IF($A27="","",IF($H27="완료","✅완료",IF($J27&gt;=30,"🔴 P1",IF($J27&gt;=18,"🟡 P2","🟢 P3"))))</f>
        <v/>
      </c>
      <c r="L27" s="23">
        <f>IF($F27="","",$F27-TODAY())</f>
        <v/>
      </c>
      <c r="M27" s="24" t="n"/>
    </row>
    <row r="28">
      <c r="A28" s="24" t="n"/>
      <c r="B28" s="24" t="n"/>
      <c r="C28" s="24" t="n"/>
      <c r="D28" s="24" t="n"/>
      <c r="E28" s="24" t="n"/>
      <c r="F28" s="25" t="n"/>
      <c r="G28" s="24" t="n"/>
      <c r="H28" s="24" t="n"/>
      <c r="I28" s="24" t="n"/>
      <c r="J28" s="21">
        <f>IF($A28="","",IF($H28="완료",0,$D28*3+$E28*3+IF($F28="",0,MAX(0,15-MAX(0,$L28)))-($I28/100)*5))</f>
        <v/>
      </c>
      <c r="K28" s="22">
        <f>IF($A28="","",IF($H28="완료","✅완료",IF($J28&gt;=30,"🔴 P1",IF($J28&gt;=18,"🟡 P2","🟢 P3"))))</f>
        <v/>
      </c>
      <c r="L28" s="23">
        <f>IF($F28="","",$F28-TODAY())</f>
        <v/>
      </c>
      <c r="M28" s="24" t="n"/>
    </row>
    <row r="29">
      <c r="A29" s="24" t="n"/>
      <c r="B29" s="24" t="n"/>
      <c r="C29" s="24" t="n"/>
      <c r="D29" s="24" t="n"/>
      <c r="E29" s="24" t="n"/>
      <c r="F29" s="25" t="n"/>
      <c r="G29" s="24" t="n"/>
      <c r="H29" s="24" t="n"/>
      <c r="I29" s="24" t="n"/>
      <c r="J29" s="21">
        <f>IF($A29="","",IF($H29="완료",0,$D29*3+$E29*3+IF($F29="",0,MAX(0,15-MAX(0,$L29)))-($I29/100)*5))</f>
        <v/>
      </c>
      <c r="K29" s="22">
        <f>IF($A29="","",IF($H29="완료","✅완료",IF($J29&gt;=30,"🔴 P1",IF($J29&gt;=18,"🟡 P2","🟢 P3"))))</f>
        <v/>
      </c>
      <c r="L29" s="23">
        <f>IF($F29="","",$F29-TODAY())</f>
        <v/>
      </c>
      <c r="M29" s="24" t="n"/>
    </row>
    <row r="30">
      <c r="A30" s="24" t="n"/>
      <c r="B30" s="24" t="n"/>
      <c r="C30" s="24" t="n"/>
      <c r="D30" s="24" t="n"/>
      <c r="E30" s="24" t="n"/>
      <c r="F30" s="25" t="n"/>
      <c r="G30" s="24" t="n"/>
      <c r="H30" s="24" t="n"/>
      <c r="I30" s="24" t="n"/>
      <c r="J30" s="21">
        <f>IF($A30="","",IF($H30="완료",0,$D30*3+$E30*3+IF($F30="",0,MAX(0,15-MAX(0,$L30)))-($I30/100)*5))</f>
        <v/>
      </c>
      <c r="K30" s="22">
        <f>IF($A30="","",IF($H30="완료","✅완료",IF($J30&gt;=30,"🔴 P1",IF($J30&gt;=18,"🟡 P2","🟢 P3"))))</f>
        <v/>
      </c>
      <c r="L30" s="23">
        <f>IF($F30="","",$F30-TODAY())</f>
        <v/>
      </c>
      <c r="M30" s="24" t="n"/>
    </row>
    <row r="31">
      <c r="A31" s="24" t="n"/>
      <c r="B31" s="24" t="n"/>
      <c r="C31" s="24" t="n"/>
      <c r="D31" s="24" t="n"/>
      <c r="E31" s="24" t="n"/>
      <c r="F31" s="25" t="n"/>
      <c r="G31" s="24" t="n"/>
      <c r="H31" s="24" t="n"/>
      <c r="I31" s="24" t="n"/>
      <c r="J31" s="21">
        <f>IF($A31="","",IF($H31="완료",0,$D31*3+$E31*3+IF($F31="",0,MAX(0,15-MAX(0,$L31)))-($I31/100)*5))</f>
        <v/>
      </c>
      <c r="K31" s="22">
        <f>IF($A31="","",IF($H31="완료","✅완료",IF($J31&gt;=30,"🔴 P1",IF($J31&gt;=18,"🟡 P2","🟢 P3"))))</f>
        <v/>
      </c>
      <c r="L31" s="23">
        <f>IF($F31="","",$F31-TODAY())</f>
        <v/>
      </c>
      <c r="M31" s="24" t="n"/>
    </row>
    <row r="32">
      <c r="A32" s="24" t="n"/>
      <c r="B32" s="24" t="n"/>
      <c r="C32" s="24" t="n"/>
      <c r="D32" s="24" t="n"/>
      <c r="E32" s="24" t="n"/>
      <c r="F32" s="25" t="n"/>
      <c r="G32" s="24" t="n"/>
      <c r="H32" s="24" t="n"/>
      <c r="I32" s="24" t="n"/>
      <c r="J32" s="21">
        <f>IF($A32="","",IF($H32="완료",0,$D32*3+$E32*3+IF($F32="",0,MAX(0,15-MAX(0,$L32)))-($I32/100)*5))</f>
        <v/>
      </c>
      <c r="K32" s="22">
        <f>IF($A32="","",IF($H32="완료","✅완료",IF($J32&gt;=30,"🔴 P1",IF($J32&gt;=18,"🟡 P2","🟢 P3"))))</f>
        <v/>
      </c>
      <c r="L32" s="23">
        <f>IF($F32="","",$F32-TODAY())</f>
        <v/>
      </c>
      <c r="M32" s="24" t="n"/>
    </row>
    <row r="33">
      <c r="A33" s="24" t="n"/>
      <c r="B33" s="24" t="n"/>
      <c r="C33" s="24" t="n"/>
      <c r="D33" s="24" t="n"/>
      <c r="E33" s="24" t="n"/>
      <c r="F33" s="25" t="n"/>
      <c r="G33" s="24" t="n"/>
      <c r="H33" s="24" t="n"/>
      <c r="I33" s="24" t="n"/>
      <c r="J33" s="21">
        <f>IF($A33="","",IF($H33="완료",0,$D33*3+$E33*3+IF($F33="",0,MAX(0,15-MAX(0,$L33)))-($I33/100)*5))</f>
        <v/>
      </c>
      <c r="K33" s="22">
        <f>IF($A33="","",IF($H33="완료","✅완료",IF($J33&gt;=30,"🔴 P1",IF($J33&gt;=18,"🟡 P2","🟢 P3"))))</f>
        <v/>
      </c>
      <c r="L33" s="23">
        <f>IF($F33="","",$F33-TODAY())</f>
        <v/>
      </c>
      <c r="M33" s="24" t="n"/>
    </row>
    <row r="34">
      <c r="A34" s="24" t="n"/>
      <c r="B34" s="24" t="n"/>
      <c r="C34" s="24" t="n"/>
      <c r="D34" s="24" t="n"/>
      <c r="E34" s="24" t="n"/>
      <c r="F34" s="25" t="n"/>
      <c r="G34" s="24" t="n"/>
      <c r="H34" s="24" t="n"/>
      <c r="I34" s="24" t="n"/>
      <c r="J34" s="21">
        <f>IF($A34="","",IF($H34="완료",0,$D34*3+$E34*3+IF($F34="",0,MAX(0,15-MAX(0,$L34)))-($I34/100)*5))</f>
        <v/>
      </c>
      <c r="K34" s="22">
        <f>IF($A34="","",IF($H34="완료","✅완료",IF($J34&gt;=30,"🔴 P1",IF($J34&gt;=18,"🟡 P2","🟢 P3"))))</f>
        <v/>
      </c>
      <c r="L34" s="23">
        <f>IF($F34="","",$F34-TODAY())</f>
        <v/>
      </c>
      <c r="M34" s="24" t="n"/>
    </row>
    <row r="35">
      <c r="A35" s="24" t="n"/>
      <c r="B35" s="24" t="n"/>
      <c r="C35" s="24" t="n"/>
      <c r="D35" s="24" t="n"/>
      <c r="E35" s="24" t="n"/>
      <c r="F35" s="25" t="n"/>
      <c r="G35" s="24" t="n"/>
      <c r="H35" s="24" t="n"/>
      <c r="I35" s="24" t="n"/>
      <c r="J35" s="21">
        <f>IF($A35="","",IF($H35="완료",0,$D35*3+$E35*3+IF($F35="",0,MAX(0,15-MAX(0,$L35)))-($I35/100)*5))</f>
        <v/>
      </c>
      <c r="K35" s="22">
        <f>IF($A35="","",IF($H35="완료","✅완료",IF($J35&gt;=30,"🔴 P1",IF($J35&gt;=18,"🟡 P2","🟢 P3"))))</f>
        <v/>
      </c>
      <c r="L35" s="23">
        <f>IF($F35="","",$F35-TODAY())</f>
        <v/>
      </c>
      <c r="M35" s="24" t="n"/>
    </row>
    <row r="36">
      <c r="A36" s="24" t="n"/>
      <c r="B36" s="24" t="n"/>
      <c r="C36" s="24" t="n"/>
      <c r="D36" s="24" t="n"/>
      <c r="E36" s="24" t="n"/>
      <c r="F36" s="25" t="n"/>
      <c r="G36" s="24" t="n"/>
      <c r="H36" s="24" t="n"/>
      <c r="I36" s="24" t="n"/>
      <c r="J36" s="21">
        <f>IF($A36="","",IF($H36="완료",0,$D36*3+$E36*3+IF($F36="",0,MAX(0,15-MAX(0,$L36)))-($I36/100)*5))</f>
        <v/>
      </c>
      <c r="K36" s="22">
        <f>IF($A36="","",IF($H36="완료","✅완료",IF($J36&gt;=30,"🔴 P1",IF($J36&gt;=18,"🟡 P2","🟢 P3"))))</f>
        <v/>
      </c>
      <c r="L36" s="23">
        <f>IF($F36="","",$F36-TODAY())</f>
        <v/>
      </c>
      <c r="M36" s="24" t="n"/>
    </row>
    <row r="37">
      <c r="A37" s="24" t="n"/>
      <c r="B37" s="24" t="n"/>
      <c r="C37" s="24" t="n"/>
      <c r="D37" s="24" t="n"/>
      <c r="E37" s="24" t="n"/>
      <c r="F37" s="25" t="n"/>
      <c r="G37" s="24" t="n"/>
      <c r="H37" s="24" t="n"/>
      <c r="I37" s="24" t="n"/>
      <c r="J37" s="21">
        <f>IF($A37="","",IF($H37="완료",0,$D37*3+$E37*3+IF($F37="",0,MAX(0,15-MAX(0,$L37)))-($I37/100)*5))</f>
        <v/>
      </c>
      <c r="K37" s="22">
        <f>IF($A37="","",IF($H37="완료","✅완료",IF($J37&gt;=30,"🔴 P1",IF($J37&gt;=18,"🟡 P2","🟢 P3"))))</f>
        <v/>
      </c>
      <c r="L37" s="23">
        <f>IF($F37="","",$F37-TODAY())</f>
        <v/>
      </c>
      <c r="M37" s="24" t="n"/>
    </row>
    <row r="38">
      <c r="A38" s="24" t="n"/>
      <c r="B38" s="24" t="n"/>
      <c r="C38" s="24" t="n"/>
      <c r="D38" s="24" t="n"/>
      <c r="E38" s="24" t="n"/>
      <c r="F38" s="25" t="n"/>
      <c r="G38" s="24" t="n"/>
      <c r="H38" s="24" t="n"/>
      <c r="I38" s="24" t="n"/>
      <c r="J38" s="21">
        <f>IF($A38="","",IF($H38="완료",0,$D38*3+$E38*3+IF($F38="",0,MAX(0,15-MAX(0,$L38)))-($I38/100)*5))</f>
        <v/>
      </c>
      <c r="K38" s="22">
        <f>IF($A38="","",IF($H38="완료","✅완료",IF($J38&gt;=30,"🔴 P1",IF($J38&gt;=18,"🟡 P2","🟢 P3"))))</f>
        <v/>
      </c>
      <c r="L38" s="23">
        <f>IF($F38="","",$F38-TODAY())</f>
        <v/>
      </c>
      <c r="M38" s="24" t="n"/>
    </row>
    <row r="39">
      <c r="A39" s="24" t="n"/>
      <c r="B39" s="24" t="n"/>
      <c r="C39" s="24" t="n"/>
      <c r="D39" s="24" t="n"/>
      <c r="E39" s="24" t="n"/>
      <c r="F39" s="25" t="n"/>
      <c r="G39" s="24" t="n"/>
      <c r="H39" s="24" t="n"/>
      <c r="I39" s="24" t="n"/>
      <c r="J39" s="21">
        <f>IF($A39="","",IF($H39="완료",0,$D39*3+$E39*3+IF($F39="",0,MAX(0,15-MAX(0,$L39)))-($I39/100)*5))</f>
        <v/>
      </c>
      <c r="K39" s="22">
        <f>IF($A39="","",IF($H39="완료","✅완료",IF($J39&gt;=30,"🔴 P1",IF($J39&gt;=18,"🟡 P2","🟢 P3"))))</f>
        <v/>
      </c>
      <c r="L39" s="23">
        <f>IF($F39="","",$F39-TODAY())</f>
        <v/>
      </c>
      <c r="M39" s="24" t="n"/>
    </row>
    <row r="40">
      <c r="A40" s="24" t="n"/>
      <c r="B40" s="24" t="n"/>
      <c r="C40" s="24" t="n"/>
      <c r="D40" s="24" t="n"/>
      <c r="E40" s="24" t="n"/>
      <c r="F40" s="25" t="n"/>
      <c r="G40" s="24" t="n"/>
      <c r="H40" s="24" t="n"/>
      <c r="I40" s="24" t="n"/>
      <c r="J40" s="21">
        <f>IF($A40="","",IF($H40="완료",0,$D40*3+$E40*3+IF($F40="",0,MAX(0,15-MAX(0,$L40)))-($I40/100)*5))</f>
        <v/>
      </c>
      <c r="K40" s="22">
        <f>IF($A40="","",IF($H40="완료","✅완료",IF($J40&gt;=30,"🔴 P1",IF($J40&gt;=18,"🟡 P2","🟢 P3"))))</f>
        <v/>
      </c>
      <c r="L40" s="23">
        <f>IF($F40="","",$F40-TODAY())</f>
        <v/>
      </c>
      <c r="M40" s="24" t="n"/>
    </row>
    <row r="41">
      <c r="A41" s="24" t="n"/>
      <c r="B41" s="24" t="n"/>
      <c r="C41" s="24" t="n"/>
      <c r="D41" s="24" t="n"/>
      <c r="E41" s="24" t="n"/>
      <c r="F41" s="25" t="n"/>
      <c r="G41" s="24" t="n"/>
      <c r="H41" s="24" t="n"/>
      <c r="I41" s="24" t="n"/>
      <c r="J41" s="21">
        <f>IF($A41="","",IF($H41="완료",0,$D41*3+$E41*3+IF($F41="",0,MAX(0,15-MAX(0,$L41)))-($I41/100)*5))</f>
        <v/>
      </c>
      <c r="K41" s="22">
        <f>IF($A41="","",IF($H41="완료","✅완료",IF($J41&gt;=30,"🔴 P1",IF($J41&gt;=18,"🟡 P2","🟢 P3"))))</f>
        <v/>
      </c>
      <c r="L41" s="23">
        <f>IF($F41="","",$F41-TODAY())</f>
        <v/>
      </c>
      <c r="M41" s="24" t="n"/>
    </row>
    <row r="42">
      <c r="A42" s="24" t="n"/>
      <c r="B42" s="24" t="n"/>
      <c r="C42" s="24" t="n"/>
      <c r="D42" s="24" t="n"/>
      <c r="E42" s="24" t="n"/>
      <c r="F42" s="25" t="n"/>
      <c r="G42" s="24" t="n"/>
      <c r="H42" s="24" t="n"/>
      <c r="I42" s="24" t="n"/>
      <c r="J42" s="21">
        <f>IF($A42="","",IF($H42="완료",0,$D42*3+$E42*3+IF($F42="",0,MAX(0,15-MAX(0,$L42)))-($I42/100)*5))</f>
        <v/>
      </c>
      <c r="K42" s="22">
        <f>IF($A42="","",IF($H42="완료","✅완료",IF($J42&gt;=30,"🔴 P1",IF($J42&gt;=18,"🟡 P2","🟢 P3"))))</f>
        <v/>
      </c>
      <c r="L42" s="23">
        <f>IF($F42="","",$F42-TODAY())</f>
        <v/>
      </c>
      <c r="M42" s="24" t="n"/>
    </row>
    <row r="43">
      <c r="A43" s="24" t="n"/>
      <c r="B43" s="24" t="n"/>
      <c r="C43" s="24" t="n"/>
      <c r="D43" s="24" t="n"/>
      <c r="E43" s="24" t="n"/>
      <c r="F43" s="25" t="n"/>
      <c r="G43" s="24" t="n"/>
      <c r="H43" s="24" t="n"/>
      <c r="I43" s="24" t="n"/>
      <c r="J43" s="21">
        <f>IF($A43="","",IF($H43="완료",0,$D43*3+$E43*3+IF($F43="",0,MAX(0,15-MAX(0,$L43)))-($I43/100)*5))</f>
        <v/>
      </c>
      <c r="K43" s="22">
        <f>IF($A43="","",IF($H43="완료","✅완료",IF($J43&gt;=30,"🔴 P1",IF($J43&gt;=18,"🟡 P2","🟢 P3"))))</f>
        <v/>
      </c>
      <c r="L43" s="23">
        <f>IF($F43="","",$F43-TODAY())</f>
        <v/>
      </c>
      <c r="M43" s="24" t="n"/>
    </row>
    <row r="44">
      <c r="A44" s="24" t="n"/>
      <c r="B44" s="24" t="n"/>
      <c r="C44" s="24" t="n"/>
      <c r="D44" s="24" t="n"/>
      <c r="E44" s="24" t="n"/>
      <c r="F44" s="25" t="n"/>
      <c r="G44" s="24" t="n"/>
      <c r="H44" s="24" t="n"/>
      <c r="I44" s="24" t="n"/>
      <c r="J44" s="21">
        <f>IF($A44="","",IF($H44="완료",0,$D44*3+$E44*3+IF($F44="",0,MAX(0,15-MAX(0,$L44)))-($I44/100)*5))</f>
        <v/>
      </c>
      <c r="K44" s="22">
        <f>IF($A44="","",IF($H44="완료","✅완료",IF($J44&gt;=30,"🔴 P1",IF($J44&gt;=18,"🟡 P2","🟢 P3"))))</f>
        <v/>
      </c>
      <c r="L44" s="23">
        <f>IF($F44="","",$F44-TODAY())</f>
        <v/>
      </c>
      <c r="M44" s="24" t="n"/>
    </row>
    <row r="45">
      <c r="A45" s="24" t="n"/>
      <c r="B45" s="24" t="n"/>
      <c r="C45" s="24" t="n"/>
      <c r="D45" s="24" t="n"/>
      <c r="E45" s="24" t="n"/>
      <c r="F45" s="25" t="n"/>
      <c r="G45" s="24" t="n"/>
      <c r="H45" s="24" t="n"/>
      <c r="I45" s="24" t="n"/>
      <c r="J45" s="21">
        <f>IF($A45="","",IF($H45="완료",0,$D45*3+$E45*3+IF($F45="",0,MAX(0,15-MAX(0,$L45)))-($I45/100)*5))</f>
        <v/>
      </c>
      <c r="K45" s="22">
        <f>IF($A45="","",IF($H45="완료","✅완료",IF($J45&gt;=30,"🔴 P1",IF($J45&gt;=18,"🟡 P2","🟢 P3"))))</f>
        <v/>
      </c>
      <c r="L45" s="23">
        <f>IF($F45="","",$F45-TODAY())</f>
        <v/>
      </c>
      <c r="M45" s="24" t="n"/>
    </row>
    <row r="46">
      <c r="A46" s="24" t="n"/>
      <c r="B46" s="24" t="n"/>
      <c r="C46" s="24" t="n"/>
      <c r="D46" s="24" t="n"/>
      <c r="E46" s="24" t="n"/>
      <c r="F46" s="25" t="n"/>
      <c r="G46" s="24" t="n"/>
      <c r="H46" s="24" t="n"/>
      <c r="I46" s="24" t="n"/>
      <c r="J46" s="21">
        <f>IF($A46="","",IF($H46="완료",0,$D46*3+$E46*3+IF($F46="",0,MAX(0,15-MAX(0,$L46)))-($I46/100)*5))</f>
        <v/>
      </c>
      <c r="K46" s="22">
        <f>IF($A46="","",IF($H46="완료","✅완료",IF($J46&gt;=30,"🔴 P1",IF($J46&gt;=18,"🟡 P2","🟢 P3"))))</f>
        <v/>
      </c>
      <c r="L46" s="23">
        <f>IF($F46="","",$F46-TODAY())</f>
        <v/>
      </c>
      <c r="M46" s="24" t="n"/>
    </row>
    <row r="47">
      <c r="A47" s="24" t="n"/>
      <c r="B47" s="24" t="n"/>
      <c r="C47" s="24" t="n"/>
      <c r="D47" s="24" t="n"/>
      <c r="E47" s="24" t="n"/>
      <c r="F47" s="25" t="n"/>
      <c r="G47" s="24" t="n"/>
      <c r="H47" s="24" t="n"/>
      <c r="I47" s="24" t="n"/>
      <c r="J47" s="21">
        <f>IF($A47="","",IF($H47="완료",0,$D47*3+$E47*3+IF($F47="",0,MAX(0,15-MAX(0,$L47)))-($I47/100)*5))</f>
        <v/>
      </c>
      <c r="K47" s="22">
        <f>IF($A47="","",IF($H47="완료","✅완료",IF($J47&gt;=30,"🔴 P1",IF($J47&gt;=18,"🟡 P2","🟢 P3"))))</f>
        <v/>
      </c>
      <c r="L47" s="23">
        <f>IF($F47="","",$F47-TODAY())</f>
        <v/>
      </c>
      <c r="M47" s="24" t="n"/>
    </row>
    <row r="48">
      <c r="A48" s="24" t="n"/>
      <c r="B48" s="24" t="n"/>
      <c r="C48" s="24" t="n"/>
      <c r="D48" s="24" t="n"/>
      <c r="E48" s="24" t="n"/>
      <c r="F48" s="25" t="n"/>
      <c r="G48" s="24" t="n"/>
      <c r="H48" s="24" t="n"/>
      <c r="I48" s="24" t="n"/>
      <c r="J48" s="21">
        <f>IF($A48="","",IF($H48="완료",0,$D48*3+$E48*3+IF($F48="",0,MAX(0,15-MAX(0,$L48)))-($I48/100)*5))</f>
        <v/>
      </c>
      <c r="K48" s="22">
        <f>IF($A48="","",IF($H48="완료","✅완료",IF($J48&gt;=30,"🔴 P1",IF($J48&gt;=18,"🟡 P2","🟢 P3"))))</f>
        <v/>
      </c>
      <c r="L48" s="23">
        <f>IF($F48="","",$F48-TODAY())</f>
        <v/>
      </c>
      <c r="M48" s="24" t="n"/>
    </row>
    <row r="49">
      <c r="A49" s="24" t="n"/>
      <c r="B49" s="24" t="n"/>
      <c r="C49" s="24" t="n"/>
      <c r="D49" s="24" t="n"/>
      <c r="E49" s="24" t="n"/>
      <c r="F49" s="25" t="n"/>
      <c r="G49" s="24" t="n"/>
      <c r="H49" s="24" t="n"/>
      <c r="I49" s="24" t="n"/>
      <c r="J49" s="21">
        <f>IF($A49="","",IF($H49="완료",0,$D49*3+$E49*3+IF($F49="",0,MAX(0,15-MAX(0,$L49)))-($I49/100)*5))</f>
        <v/>
      </c>
      <c r="K49" s="22">
        <f>IF($A49="","",IF($H49="완료","✅완료",IF($J49&gt;=30,"🔴 P1",IF($J49&gt;=18,"🟡 P2","🟢 P3"))))</f>
        <v/>
      </c>
      <c r="L49" s="23">
        <f>IF($F49="","",$F49-TODAY())</f>
        <v/>
      </c>
      <c r="M49" s="24" t="n"/>
    </row>
    <row r="50">
      <c r="A50" s="24" t="n"/>
      <c r="B50" s="24" t="n"/>
      <c r="C50" s="24" t="n"/>
      <c r="D50" s="24" t="n"/>
      <c r="E50" s="24" t="n"/>
      <c r="F50" s="25" t="n"/>
      <c r="G50" s="24" t="n"/>
      <c r="H50" s="24" t="n"/>
      <c r="I50" s="24" t="n"/>
      <c r="J50" s="21">
        <f>IF($A50="","",IF($H50="완료",0,$D50*3+$E50*3+IF($F50="",0,MAX(0,15-MAX(0,$L50)))-($I50/100)*5))</f>
        <v/>
      </c>
      <c r="K50" s="22">
        <f>IF($A50="","",IF($H50="완료","✅완료",IF($J50&gt;=30,"🔴 P1",IF($J50&gt;=18,"🟡 P2","🟢 P3"))))</f>
        <v/>
      </c>
      <c r="L50" s="23">
        <f>IF($F50="","",$F50-TODAY())</f>
        <v/>
      </c>
      <c r="M50" s="24" t="n"/>
    </row>
    <row r="51">
      <c r="A51" s="24" t="n"/>
      <c r="B51" s="24" t="n"/>
      <c r="C51" s="24" t="n"/>
      <c r="D51" s="24" t="n"/>
      <c r="E51" s="24" t="n"/>
      <c r="F51" s="25" t="n"/>
      <c r="G51" s="24" t="n"/>
      <c r="H51" s="24" t="n"/>
      <c r="I51" s="24" t="n"/>
      <c r="J51" s="21">
        <f>IF($A51="","",IF($H51="완료",0,$D51*3+$E51*3+IF($F51="",0,MAX(0,15-MAX(0,$L51)))-($I51/100)*5))</f>
        <v/>
      </c>
      <c r="K51" s="22">
        <f>IF($A51="","",IF($H51="완료","✅완료",IF($J51&gt;=30,"🔴 P1",IF($J51&gt;=18,"🟡 P2","🟢 P3"))))</f>
        <v/>
      </c>
      <c r="L51" s="23">
        <f>IF($F51="","",$F51-TODAY())</f>
        <v/>
      </c>
      <c r="M51" s="24" t="n"/>
    </row>
    <row r="52">
      <c r="A52" s="24" t="n"/>
      <c r="B52" s="24" t="n"/>
      <c r="C52" s="24" t="n"/>
      <c r="D52" s="24" t="n"/>
      <c r="E52" s="24" t="n"/>
      <c r="F52" s="25" t="n"/>
      <c r="G52" s="24" t="n"/>
      <c r="H52" s="24" t="n"/>
      <c r="I52" s="24" t="n"/>
      <c r="J52" s="21">
        <f>IF($A52="","",IF($H52="완료",0,$D52*3+$E52*3+IF($F52="",0,MAX(0,15-MAX(0,$L52)))-($I52/100)*5))</f>
        <v/>
      </c>
      <c r="K52" s="22">
        <f>IF($A52="","",IF($H52="완료","✅완료",IF($J52&gt;=30,"🔴 P1",IF($J52&gt;=18,"🟡 P2","🟢 P3"))))</f>
        <v/>
      </c>
      <c r="L52" s="23">
        <f>IF($F52="","",$F52-TODAY())</f>
        <v/>
      </c>
      <c r="M52" s="24" t="n"/>
    </row>
  </sheetData>
  <mergeCells count="1">
    <mergeCell ref="A1:M1"/>
  </mergeCells>
  <conditionalFormatting sqref="A3:M52">
    <cfRule type="expression" priority="1" dxfId="0">
      <formula>$H3="완료"</formula>
    </cfRule>
  </conditionalFormatting>
  <conditionalFormatting sqref="K3:K52">
    <cfRule type="expression" priority="2" dxfId="1">
      <formula>$K3="🔴 P1"</formula>
    </cfRule>
    <cfRule type="expression" priority="3" dxfId="2">
      <formula>$K3="🟡 P2"</formula>
    </cfRule>
  </conditionalFormatting>
  <conditionalFormatting sqref="L3:L52">
    <cfRule type="expression" priority="4" dxfId="1">
      <formula>AND($L3&lt;&gt;"",$L3&lt;0,$H3&lt;&gt;"완료")</formula>
    </cfRule>
  </conditionalFormatting>
  <dataValidations count="5">
    <dataValidation sqref="C3:C52" showDropDown="0" showInputMessage="0" showErrorMessage="0" allowBlank="1" type="list">
      <formula1>=설정!$A$2:$A$8</formula1>
    </dataValidation>
    <dataValidation sqref="B3:B52" showDropDown="0" showInputMessage="0" showErrorMessage="0" allowBlank="1" type="list">
      <formula1>=설정!$E$2:$E$6</formula1>
    </dataValidation>
    <dataValidation sqref="H3:H52" showDropDown="0" showInputMessage="0" showErrorMessage="0" allowBlank="1" type="list">
      <formula1>=설정!$C$2:$C$5</formula1>
    </dataValidation>
    <dataValidation sqref="D3:D52 E3:E52" showDropDown="0" showInputMessage="0" showErrorMessage="0" allowBlank="1" type="whole" operator="between">
      <formula1>1</formula1>
      <formula2>5</formula2>
    </dataValidation>
    <dataValidation sqref="I3:I52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0" customWidth="1" min="4" max="4"/>
    <col width="7" customWidth="1" min="5" max="5"/>
    <col width="7" customWidth="1" min="6" max="6"/>
    <col width="12" customWidth="1" min="7" max="7"/>
    <col width="9" customWidth="1" min="8" max="8"/>
    <col width="10" customWidth="1" min="9" max="9"/>
    <col width="8" customWidth="1" min="10" max="10"/>
    <col width="9" customWidth="1" min="11" max="11"/>
    <col width="9" customWidth="1" min="12" max="12"/>
    <col width="8" customWidth="1" min="13" max="13"/>
    <col width="30" customWidth="1" min="14" max="14"/>
  </cols>
  <sheetData>
    <row r="1" ht="24" customHeight="1">
      <c r="A1" s="26" t="inlineStr">
        <is>
          <t>✅  우선순위 To-Do  —  미완료 과업이 점수 높은 순으로 자동 정렬됩니다</t>
        </is>
      </c>
    </row>
    <row r="2" ht="30" customHeight="1">
      <c r="A2" s="27" t="inlineStr">
        <is>
          <t>순위</t>
        </is>
      </c>
      <c r="B2" s="27" t="inlineStr">
        <is>
          <t>과업명</t>
        </is>
      </c>
      <c r="C2" s="27" t="inlineStr">
        <is>
          <t>담당자</t>
        </is>
      </c>
      <c r="D2" s="27" t="inlineStr">
        <is>
          <t>카테고리</t>
        </is>
      </c>
      <c r="E2" s="27" t="inlineStr">
        <is>
          <t>중요도
(1-5)</t>
        </is>
      </c>
      <c r="F2" s="27" t="inlineStr">
        <is>
          <t>긴급도
(1-5)</t>
        </is>
      </c>
      <c r="G2" s="27" t="inlineStr">
        <is>
          <t>마감일</t>
        </is>
      </c>
      <c r="H2" s="27" t="inlineStr">
        <is>
          <t>예상공수
(h)</t>
        </is>
      </c>
      <c r="I2" s="27" t="inlineStr">
        <is>
          <t>진행상태</t>
        </is>
      </c>
      <c r="J2" s="27" t="inlineStr">
        <is>
          <t>진척률
(%)</t>
        </is>
      </c>
      <c r="K2" s="27" t="inlineStr">
        <is>
          <t>우선순위
점수</t>
        </is>
      </c>
      <c r="L2" s="27" t="inlineStr">
        <is>
          <t>등급</t>
        </is>
      </c>
      <c r="M2" s="27" t="inlineStr">
        <is>
          <t>D-Day</t>
        </is>
      </c>
      <c r="N2" s="27" t="inlineStr">
        <is>
          <t>비고/메모</t>
        </is>
      </c>
    </row>
    <row r="3">
      <c r="A3">
        <f>ARRAYFORMULA(IF(B3:B51="","",ROW(B3:B51)-2))</f>
        <v/>
      </c>
      <c r="B3">
        <f>IFERROR(SORT(FILTER(과업입력!A3:M52,(과업입력!A3:A52&lt;&gt;"")*(과업입력!H3:H52&lt;&gt;"완료")),10,FALSE),"입력된 미완료 과업이 없습니다")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2026-07-12T06:24:33Z</dcterms:created>
  <dcterms:modified xsi:type="dcterms:W3CDTF">2026-07-12T06:24:33Z</dcterms:modified>
</cp:coreProperties>
</file>