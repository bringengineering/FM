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설정" sheetId="2" state="visible" r:id="rId2"/>
    <sheet name="과업입력" sheetId="3" state="visible" r:id="rId3"/>
    <sheet name="우선순위ToD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5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color rgb="001F2A44"/>
      <sz val="12"/>
    </font>
    <font>
      <b val="1"/>
      <color rgb="005B6472"/>
    </font>
  </fonts>
  <fills count="6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EF6E0"/>
      </patternFill>
    </fill>
    <fill>
      <patternFill patternType="solid">
        <fgColor rgb="001E7F4F"/>
      </patternFill>
    </fill>
    <fill>
      <patternFill patternType="solid">
        <fgColor rgb="002F5BE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2" borderId="0" applyAlignment="1" pivotButton="0" quotePrefix="0" xfId="0">
      <alignment horizontal="left" vertical="center"/>
    </xf>
    <xf numFmtId="164" fontId="0" fillId="0" borderId="0" pivotButton="0" quotePrefix="0" xfId="0"/>
    <xf numFmtId="0" fontId="3" fillId="0" borderId="0" pivotButton="0" quotePrefix="0" xfId="0"/>
    <xf numFmtId="9" fontId="0" fillId="0" borderId="0" pivotButton="0" quotePrefix="0" xfId="0"/>
    <xf numFmtId="0" fontId="1" fillId="5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1" fillId="4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9" customWidth="1" min="3" max="3"/>
    <col width="12" customWidth="1" min="4" max="4"/>
    <col width="9" customWidth="1" min="5" max="5"/>
    <col width="9" customWidth="1" min="6" max="6"/>
    <col width="10" customWidth="1" min="7" max="7"/>
    <col width="11" customWidth="1" min="8" max="8"/>
  </cols>
  <sheetData>
    <row r="1">
      <c r="A1" s="1" t="inlineStr">
        <is>
          <t>📊 브링FM 프로젝트 현황 대시보드</t>
        </is>
      </c>
    </row>
    <row r="2">
      <c r="A2" t="inlineStr">
        <is>
          <t>2026년 7월 2주차 (7/6~7/12)</t>
        </is>
      </c>
      <c r="E2" t="inlineStr">
        <is>
          <t>기준일:</t>
        </is>
      </c>
      <c r="F2" s="2">
        <f>TODAY()</f>
        <v/>
      </c>
    </row>
    <row r="4">
      <c r="A4" s="3" t="inlineStr">
        <is>
          <t>① 정량 지표</t>
        </is>
      </c>
    </row>
    <row r="5">
      <c r="A5" t="inlineStr">
        <is>
          <t>총 과업</t>
        </is>
      </c>
      <c r="B5">
        <f>COUNTA(과업입력!A2:A)</f>
        <v/>
      </c>
      <c r="D5" t="inlineStr">
        <is>
          <t>총 공수(h)</t>
        </is>
      </c>
      <c r="E5">
        <f>SUM(과업입력!G2:G)</f>
        <v/>
      </c>
    </row>
    <row r="6">
      <c r="A6" t="inlineStr">
        <is>
          <t>완료</t>
        </is>
      </c>
      <c r="B6">
        <f>COUNTIF(과업입력!H2:H,"완료")</f>
        <v/>
      </c>
      <c r="D6" t="inlineStr">
        <is>
          <t>완료 공수</t>
        </is>
      </c>
      <c r="E6">
        <f>SUMIF(과업입력!H2:H,"완료",과업입력!G2:G)</f>
        <v/>
      </c>
    </row>
    <row r="7">
      <c r="A7" t="inlineStr">
        <is>
          <t>진행중</t>
        </is>
      </c>
      <c r="B7">
        <f>COUNTIF(과업입력!H2:H,"진행중")</f>
        <v/>
      </c>
      <c r="D7" t="inlineStr">
        <is>
          <t>잔여 공수</t>
        </is>
      </c>
      <c r="E7">
        <f>E5-E6</f>
        <v/>
      </c>
    </row>
    <row r="8">
      <c r="A8" t="inlineStr">
        <is>
          <t>대기</t>
        </is>
      </c>
      <c r="B8">
        <f>COUNTIF(과업입력!H2:H,"대기")</f>
        <v/>
      </c>
      <c r="D8" t="inlineStr">
        <is>
          <t>🔴 P1</t>
        </is>
      </c>
      <c r="E8">
        <f>COUNTIF(과업입력!K2:K,"🔴 P1")</f>
        <v/>
      </c>
    </row>
    <row r="9">
      <c r="A9" t="inlineStr">
        <is>
          <t>보류</t>
        </is>
      </c>
      <c r="B9">
        <f>COUNTIF(과업입력!H2:H,"보류")</f>
        <v/>
      </c>
      <c r="D9" t="inlineStr">
        <is>
          <t>🟡 P2</t>
        </is>
      </c>
      <c r="E9">
        <f>COUNTIF(과업입력!K2:K,"🟡 P2")</f>
        <v/>
      </c>
    </row>
    <row r="10">
      <c r="A10" t="inlineStr">
        <is>
          <t>완료율</t>
        </is>
      </c>
      <c r="B10" s="4">
        <f>IFERROR(B6/B5,0)</f>
        <v/>
      </c>
      <c r="D10" t="inlineStr">
        <is>
          <t>🟢 P3</t>
        </is>
      </c>
      <c r="E10">
        <f>COUNTIF(과업입력!K2:K,"🟢 P3")</f>
        <v/>
      </c>
    </row>
    <row r="11">
      <c r="A11" t="inlineStr">
        <is>
          <t>평균 진척률</t>
        </is>
      </c>
      <c r="B11">
        <f>IFERROR(AVERAGEIF(과업입력!A2:A,"&lt;&gt;",과업입력!I2:I),0)</f>
        <v/>
      </c>
      <c r="D11" t="inlineStr">
        <is>
          <t>미완료</t>
        </is>
      </c>
      <c r="E11">
        <f>B5-B6</f>
        <v/>
      </c>
    </row>
    <row r="12">
      <c r="A12" t="inlineStr">
        <is>
          <t>지연(초과·미완료)</t>
        </is>
      </c>
      <c r="B12">
        <f>COUNTIFS(과업입력!L2:L,"&lt;0",과업입력!H2:H,"&lt;&gt;완료")</f>
        <v/>
      </c>
      <c r="D12" t="inlineStr">
        <is>
          <t>오늘 마감</t>
        </is>
      </c>
      <c r="E12">
        <f>COUNTIFS(과업입력!L2:L,0,과업입력!H2:H,"&lt;&gt;완료")</f>
        <v/>
      </c>
    </row>
    <row r="14">
      <c r="A14" s="3" t="inlineStr">
        <is>
          <t>② 카테고리별</t>
        </is>
      </c>
      <c r="G14" s="3" t="inlineStr">
        <is>
          <t>③ 담당자별</t>
        </is>
      </c>
    </row>
    <row r="15">
      <c r="A15" s="5" t="inlineStr">
        <is>
          <t>카테고리</t>
        </is>
      </c>
      <c r="B15" s="5" t="inlineStr">
        <is>
          <t>과업수</t>
        </is>
      </c>
      <c r="C15" s="5" t="inlineStr">
        <is>
          <t>완료</t>
        </is>
      </c>
      <c r="D15" s="5" t="inlineStr">
        <is>
          <t>완료율</t>
        </is>
      </c>
      <c r="E15" s="5" t="inlineStr">
        <is>
          <t>공수</t>
        </is>
      </c>
      <c r="G15" s="5" t="inlineStr">
        <is>
          <t>담당자</t>
        </is>
      </c>
      <c r="H15" s="5" t="inlineStr">
        <is>
          <t>미완료</t>
        </is>
      </c>
      <c r="I15" s="5" t="inlineStr">
        <is>
          <t>잔여공수</t>
        </is>
      </c>
    </row>
    <row r="16">
      <c r="A16" t="inlineStr">
        <is>
          <t>기획</t>
        </is>
      </c>
      <c r="B16">
        <f>COUNTIF(과업입력!C2:C,A16)</f>
        <v/>
      </c>
      <c r="C16">
        <f>COUNTIFS(과업입력!C2:C,A16,과업입력!H2:H,"완료")</f>
        <v/>
      </c>
      <c r="D16" s="4">
        <f>IFERROR(C16/B16,0)</f>
        <v/>
      </c>
      <c r="E16">
        <f>SUMIF(과업입력!C2:C,A16,과업입력!G2:G)</f>
        <v/>
      </c>
      <c r="G16" t="inlineStr">
        <is>
          <t>김지훈</t>
        </is>
      </c>
      <c r="H16">
        <f>COUNTIFS(과업입력!B2:B,G16,과업입력!H2:H,"&lt;&gt;완료")</f>
        <v/>
      </c>
      <c r="I16">
        <f>SUMIFS(과업입력!G2:G,과업입력!B2:B,G16,과업입력!H2:H,"&lt;&gt;완료")</f>
        <v/>
      </c>
    </row>
    <row r="17">
      <c r="A17" t="inlineStr">
        <is>
          <t>개발</t>
        </is>
      </c>
      <c r="B17">
        <f>COUNTIF(과업입력!C2:C,A17)</f>
        <v/>
      </c>
      <c r="C17">
        <f>COUNTIFS(과업입력!C2:C,A17,과업입력!H2:H,"완료")</f>
        <v/>
      </c>
      <c r="D17" s="4">
        <f>IFERROR(C17/B17,0)</f>
        <v/>
      </c>
      <c r="E17">
        <f>SUMIF(과업입력!C2:C,A17,과업입력!G2:G)</f>
        <v/>
      </c>
      <c r="G17" t="inlineStr">
        <is>
          <t>박서연</t>
        </is>
      </c>
      <c r="H17">
        <f>COUNTIFS(과업입력!B2:B,G17,과업입력!H2:H,"&lt;&gt;완료")</f>
        <v/>
      </c>
      <c r="I17">
        <f>SUMIFS(과업입력!G2:G,과업입력!B2:B,G17,과업입력!H2:H,"&lt;&gt;완료")</f>
        <v/>
      </c>
    </row>
    <row r="18">
      <c r="A18" t="inlineStr">
        <is>
          <t>디자인</t>
        </is>
      </c>
      <c r="B18">
        <f>COUNTIF(과업입력!C2:C,A18)</f>
        <v/>
      </c>
      <c r="C18">
        <f>COUNTIFS(과업입력!C2:C,A18,과업입력!H2:H,"완료")</f>
        <v/>
      </c>
      <c r="D18" s="4">
        <f>IFERROR(C18/B18,0)</f>
        <v/>
      </c>
      <c r="E18">
        <f>SUMIF(과업입력!C2:C,A18,과업입력!G2:G)</f>
        <v/>
      </c>
      <c r="G18" t="inlineStr">
        <is>
          <t>이도현</t>
        </is>
      </c>
      <c r="H18">
        <f>COUNTIFS(과업입력!B2:B,G18,과업입력!H2:H,"&lt;&gt;완료")</f>
        <v/>
      </c>
      <c r="I18">
        <f>SUMIFS(과업입력!G2:G,과업입력!B2:B,G18,과업입력!H2:H,"&lt;&gt;완료")</f>
        <v/>
      </c>
    </row>
    <row r="19">
      <c r="A19" t="inlineStr">
        <is>
          <t>마케팅</t>
        </is>
      </c>
      <c r="B19">
        <f>COUNTIF(과업입력!C2:C,A19)</f>
        <v/>
      </c>
      <c r="C19">
        <f>COUNTIFS(과업입력!C2:C,A19,과업입력!H2:H,"완료")</f>
        <v/>
      </c>
      <c r="D19" s="4">
        <f>IFERROR(C19/B19,0)</f>
        <v/>
      </c>
      <c r="E19">
        <f>SUMIF(과업입력!C2:C,A19,과업입력!G2:G)</f>
        <v/>
      </c>
      <c r="G19" t="inlineStr">
        <is>
          <t>최유진</t>
        </is>
      </c>
      <c r="H19">
        <f>COUNTIFS(과업입력!B2:B,G19,과업입력!H2:H,"&lt;&gt;완료")</f>
        <v/>
      </c>
      <c r="I19">
        <f>SUMIFS(과업입력!G2:G,과업입력!B2:B,G19,과업입력!H2:H,"&lt;&gt;완료")</f>
        <v/>
      </c>
    </row>
    <row r="20">
      <c r="A20" t="inlineStr">
        <is>
          <t>리서치</t>
        </is>
      </c>
      <c r="B20">
        <f>COUNTIF(과업입력!C2:C,A20)</f>
        <v/>
      </c>
      <c r="C20">
        <f>COUNTIFS(과업입력!C2:C,A20,과업입력!H2:H,"완료")</f>
        <v/>
      </c>
      <c r="D20" s="4">
        <f>IFERROR(C20/B20,0)</f>
        <v/>
      </c>
      <c r="E20">
        <f>SUMIF(과업입력!C2:C,A20,과업입력!G2:G)</f>
        <v/>
      </c>
      <c r="G20" t="inlineStr">
        <is>
          <t>정하늘</t>
        </is>
      </c>
      <c r="H20">
        <f>COUNTIFS(과업입력!B2:B,G20,과업입력!H2:H,"&lt;&gt;완료")</f>
        <v/>
      </c>
      <c r="I20">
        <f>SUMIFS(과업입력!G2:G,과업입력!B2:B,G20,과업입력!H2:H,"&lt;&gt;완료")</f>
        <v/>
      </c>
    </row>
    <row r="21">
      <c r="A21" t="inlineStr">
        <is>
          <t>운영</t>
        </is>
      </c>
      <c r="B21">
        <f>COUNTIF(과업입력!C2:C,A21)</f>
        <v/>
      </c>
      <c r="C21">
        <f>COUNTIFS(과업입력!C2:C,A21,과업입력!H2:H,"완료")</f>
        <v/>
      </c>
      <c r="D21" s="4">
        <f>IFERROR(C21/B21,0)</f>
        <v/>
      </c>
      <c r="E21">
        <f>SUMIF(과업입력!C2:C,A21,과업입력!G2:G)</f>
        <v/>
      </c>
    </row>
    <row r="22">
      <c r="A22" t="inlineStr">
        <is>
          <t>기타</t>
        </is>
      </c>
      <c r="B22">
        <f>COUNTIF(과업입력!C2:C,A22)</f>
        <v/>
      </c>
      <c r="C22">
        <f>COUNTIFS(과업입력!C2:C,A22,과업입력!H2:H,"완료")</f>
        <v/>
      </c>
      <c r="D22" s="4">
        <f>IFERROR(C22/B22,0)</f>
        <v/>
      </c>
      <c r="E22">
        <f>SUMIF(과업입력!C2:C,A22,과업입력!G2:G)</f>
        <v/>
      </c>
    </row>
    <row r="25">
      <c r="A25" s="3" t="inlineStr">
        <is>
          <t>④ 정성 요약</t>
        </is>
      </c>
    </row>
    <row r="26">
      <c r="A26" s="6" t="inlineStr">
        <is>
          <t>한 줄 브리핑</t>
        </is>
      </c>
      <c r="B26">
        <f>"총 "&amp;B5&amp;"건 · 완료 "&amp;B6&amp;"건("&amp;TEXT(B10,"0%")&amp;") · 진행중 "&amp;B7&amp;"건 · 지연 "&amp;B12&amp;"건"</f>
        <v/>
      </c>
    </row>
    <row r="27">
      <c r="A27" s="6" t="inlineStr">
        <is>
          <t>이번 주 Top3</t>
        </is>
      </c>
      <c r="B27">
        <f>IFERROR(우선순위ToDo!B2&amp;" ["&amp;우선순위ToDo!L2&amp;"] / "&amp;우선순위ToDo!B3&amp;" ["&amp;우선순위ToDo!L3&amp;"] / "&amp;우선순위ToDo!B4&amp;" ["&amp;우선순위ToDo!L4&amp;"],"—")</f>
        <v/>
      </c>
    </row>
    <row r="28">
      <c r="A28" s="6" t="inlineStr">
        <is>
          <t>⚠️ 지연 리스크</t>
        </is>
      </c>
      <c r="B28">
        <f>IFERROR(TEXTJOIN(" · ",TRUE,FILTER(과업입력!A2:A,(과업입력!L2:L&lt;0)*(과업입력!H2:H&lt;&gt;"완료"))),"없음")</f>
        <v/>
      </c>
    </row>
    <row r="29">
      <c r="A29" s="6" t="inlineStr">
        <is>
          <t>오늘/내일 마감</t>
        </is>
      </c>
      <c r="B29">
        <f>IFERROR(TEXTJOIN(" · ",TRUE,FILTER(과업입력!A2:A,(과업입력!L2:L&gt;=0)*(과업입력!L2:L&lt;=1)*(과업입력!H2:H&lt;&gt;"완료"))),"없음")</f>
        <v/>
      </c>
    </row>
    <row r="30">
      <c r="A30" s="6" t="inlineStr">
        <is>
          <t>메모 모아보기</t>
        </is>
      </c>
      <c r="B30">
        <f>IFERROR(TEXTJOIN("  |  ",TRUE,FILTER(과업입력!A2:A&amp;" — "&amp;과업입력!M2:M,(과업입력!A2:A&lt;&gt;"")*(과업입력!M2:M&lt;&gt;""))),"—")</f>
        <v/>
      </c>
    </row>
  </sheetData>
  <mergeCells count="6">
    <mergeCell ref="B26:H26"/>
    <mergeCell ref="B27:H27"/>
    <mergeCell ref="B30:H30"/>
    <mergeCell ref="B29:H29"/>
    <mergeCell ref="A1:H1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3" max="3"/>
    <col width="12" customWidth="1" min="5" max="5"/>
  </cols>
  <sheetData>
    <row r="1">
      <c r="A1" s="7" t="inlineStr">
        <is>
          <t>카테고리</t>
        </is>
      </c>
      <c r="C1" s="7" t="inlineStr">
        <is>
          <t>진행상태</t>
        </is>
      </c>
      <c r="E1" s="7" t="inlineStr">
        <is>
          <t>담당자</t>
        </is>
      </c>
    </row>
    <row r="2">
      <c r="A2" t="inlineStr">
        <is>
          <t>기획</t>
        </is>
      </c>
      <c r="C2" t="inlineStr">
        <is>
          <t>대기</t>
        </is>
      </c>
      <c r="E2" t="inlineStr">
        <is>
          <t>김지훈</t>
        </is>
      </c>
    </row>
    <row r="3">
      <c r="A3" t="inlineStr">
        <is>
          <t>개발</t>
        </is>
      </c>
      <c r="C3" t="inlineStr">
        <is>
          <t>진행중</t>
        </is>
      </c>
      <c r="E3" t="inlineStr">
        <is>
          <t>박서연</t>
        </is>
      </c>
    </row>
    <row r="4">
      <c r="A4" t="inlineStr">
        <is>
          <t>디자인</t>
        </is>
      </c>
      <c r="C4" t="inlineStr">
        <is>
          <t>완료</t>
        </is>
      </c>
      <c r="E4" t="inlineStr">
        <is>
          <t>이도현</t>
        </is>
      </c>
    </row>
    <row r="5">
      <c r="A5" t="inlineStr">
        <is>
          <t>마케팅</t>
        </is>
      </c>
      <c r="C5" t="inlineStr">
        <is>
          <t>보류</t>
        </is>
      </c>
      <c r="E5" t="inlineStr">
        <is>
          <t>최유진</t>
        </is>
      </c>
    </row>
    <row r="6">
      <c r="A6" t="inlineStr">
        <is>
          <t>리서치</t>
        </is>
      </c>
      <c r="E6" t="inlineStr">
        <is>
          <t>정하늘</t>
        </is>
      </c>
    </row>
    <row r="7">
      <c r="A7" t="inlineStr">
        <is>
          <t>운영</t>
        </is>
      </c>
    </row>
    <row r="8">
      <c r="A8" t="inlineStr">
        <is>
          <t>기타</t>
        </is>
      </c>
    </row>
    <row r="11">
      <c r="A11" t="inlineStr">
        <is>
          <t>점수=중요도×3+긴급도×3+마감가중(≤15)−진척감점(≤5)  /  🔴P1≥30 🟡P2≥18 🟢P3&lt;18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7" customWidth="1" min="4" max="4"/>
    <col width="7" customWidth="1" min="5" max="5"/>
    <col width="11" customWidth="1" min="6" max="6"/>
    <col width="7" customWidth="1" min="7" max="7"/>
    <col width="9" customWidth="1" min="8" max="8"/>
    <col width="8" customWidth="1" min="9" max="9"/>
    <col width="11" customWidth="1" min="10" max="10"/>
    <col width="8" customWidth="1" min="11" max="11"/>
    <col width="7" customWidth="1" min="12" max="12"/>
    <col width="22" customWidth="1" min="13" max="13"/>
  </cols>
  <sheetData>
    <row r="1">
      <c r="A1" s="7" t="inlineStr">
        <is>
          <t>과업명</t>
        </is>
      </c>
      <c r="B1" s="7" t="inlineStr">
        <is>
          <t>담당자</t>
        </is>
      </c>
      <c r="C1" s="7" t="inlineStr">
        <is>
          <t>카테고리</t>
        </is>
      </c>
      <c r="D1" s="7" t="inlineStr">
        <is>
          <t>중요도</t>
        </is>
      </c>
      <c r="E1" s="7" t="inlineStr">
        <is>
          <t>긴급도</t>
        </is>
      </c>
      <c r="F1" s="7" t="inlineStr">
        <is>
          <t>마감일</t>
        </is>
      </c>
      <c r="G1" s="7" t="inlineStr">
        <is>
          <t>공수(h)</t>
        </is>
      </c>
      <c r="H1" s="7" t="inlineStr">
        <is>
          <t>진행상태</t>
        </is>
      </c>
      <c r="I1" s="7" t="inlineStr">
        <is>
          <t>진척률(%)</t>
        </is>
      </c>
      <c r="J1" s="7" t="inlineStr">
        <is>
          <t>우선순위점수</t>
        </is>
      </c>
      <c r="K1" s="7" t="inlineStr">
        <is>
          <t>등급</t>
        </is>
      </c>
      <c r="L1" s="7" t="inlineStr">
        <is>
          <t>D-Day</t>
        </is>
      </c>
      <c r="M1" s="7" t="inlineStr">
        <is>
          <t>비고</t>
        </is>
      </c>
    </row>
    <row r="2">
      <c r="A2" t="inlineStr">
        <is>
          <t>앱 온보딩 플로우 개선</t>
        </is>
      </c>
      <c r="B2" t="inlineStr">
        <is>
          <t>김지훈</t>
        </is>
      </c>
      <c r="C2" t="inlineStr">
        <is>
          <t>개발</t>
        </is>
      </c>
      <c r="D2" t="n">
        <v>5</v>
      </c>
      <c r="E2" t="n">
        <v>4</v>
      </c>
      <c r="F2" s="2" t="n">
        <v>46215</v>
      </c>
      <c r="G2" t="n">
        <v>16</v>
      </c>
      <c r="H2" t="inlineStr">
        <is>
          <t>진행중</t>
        </is>
      </c>
      <c r="I2" t="n">
        <v>60</v>
      </c>
      <c r="J2" s="8">
        <f>ARRAYFORMULA(IF(A2:A="","",IF(H2:H="완료",0,D2:D*3+E2:E*3+IF(F2:F="",0,IF(L2:L&lt;0,15,IF(L2:L&gt;15,0,15-L2:L)))-(IF(I2:I="",0,I2:I)/100)*5)))</f>
        <v/>
      </c>
      <c r="K2" s="8">
        <f>ARRAYFORMULA(IF(A2:A="","",IF(H2:H="완료","✅완료",IF(J2:J&gt;=30,"🔴 P1",IF(J2:J&gt;=18,"🟡 P2","🟢 P3")))))</f>
        <v/>
      </c>
      <c r="L2" s="8">
        <f>ARRAYFORMULA(IF(A2:A="","",IF(F2:F="","",F2:F-TODAY())))</f>
        <v/>
      </c>
      <c r="M2" t="inlineStr">
        <is>
          <t>이탈 지점 A/B 테스트</t>
        </is>
      </c>
    </row>
    <row r="3">
      <c r="A3" t="inlineStr">
        <is>
          <t>투자 IR 자료 v2 작성</t>
        </is>
      </c>
      <c r="B3" t="inlineStr">
        <is>
          <t>박서연</t>
        </is>
      </c>
      <c r="C3" t="inlineStr">
        <is>
          <t>기획</t>
        </is>
      </c>
      <c r="D3" t="n">
        <v>5</v>
      </c>
      <c r="E3" t="n">
        <v>5</v>
      </c>
      <c r="F3" s="2" t="n">
        <v>46213</v>
      </c>
      <c r="G3" t="n">
        <v>8</v>
      </c>
      <c r="H3" t="inlineStr">
        <is>
          <t>진행중</t>
        </is>
      </c>
      <c r="I3" t="n">
        <v>40</v>
      </c>
      <c r="M3" t="inlineStr">
        <is>
          <t>마감 초과·대표 리뷰</t>
        </is>
      </c>
    </row>
    <row r="4">
      <c r="A4" t="inlineStr">
        <is>
          <t>결제 모듈 QA</t>
        </is>
      </c>
      <c r="B4" t="inlineStr">
        <is>
          <t>박서연</t>
        </is>
      </c>
      <c r="C4" t="inlineStr">
        <is>
          <t>개발</t>
        </is>
      </c>
      <c r="D4" t="n">
        <v>5</v>
      </c>
      <c r="E4" t="n">
        <v>5</v>
      </c>
      <c r="F4" s="2" t="n">
        <v>46212</v>
      </c>
      <c r="G4" t="n">
        <v>8</v>
      </c>
      <c r="H4" t="inlineStr">
        <is>
          <t>진행중</t>
        </is>
      </c>
      <c r="I4" t="n">
        <v>50</v>
      </c>
      <c r="M4" t="inlineStr">
        <is>
          <t>실패 케이스 2건</t>
        </is>
      </c>
    </row>
    <row r="5">
      <c r="A5" t="inlineStr">
        <is>
          <t>7월 콘텐츠 캘린더 확정</t>
        </is>
      </c>
      <c r="B5" t="inlineStr">
        <is>
          <t>정하늘</t>
        </is>
      </c>
      <c r="C5" t="inlineStr">
        <is>
          <t>마케팅</t>
        </is>
      </c>
      <c r="D5" t="n">
        <v>3</v>
      </c>
      <c r="E5" t="n">
        <v>4</v>
      </c>
      <c r="F5" s="2" t="n">
        <v>46214</v>
      </c>
      <c r="G5" t="n">
        <v>4</v>
      </c>
      <c r="H5" t="inlineStr">
        <is>
          <t>진행중</t>
        </is>
      </c>
      <c r="I5" t="n">
        <v>80</v>
      </c>
      <c r="M5" t="inlineStr">
        <is>
          <t>오늘 마감</t>
        </is>
      </c>
    </row>
    <row r="6">
      <c r="A6" t="inlineStr">
        <is>
          <t>사용자 인터뷰 5명</t>
        </is>
      </c>
      <c r="B6" t="inlineStr">
        <is>
          <t>이도현</t>
        </is>
      </c>
      <c r="C6" t="inlineStr">
        <is>
          <t>리서치</t>
        </is>
      </c>
      <c r="D6" t="n">
        <v>4</v>
      </c>
      <c r="E6" t="n">
        <v>3</v>
      </c>
      <c r="F6" s="2" t="n">
        <v>46218</v>
      </c>
      <c r="G6" t="n">
        <v>10</v>
      </c>
      <c r="H6" t="inlineStr">
        <is>
          <t>대기</t>
        </is>
      </c>
      <c r="I6" t="n">
        <v>0</v>
      </c>
      <c r="M6" t="inlineStr">
        <is>
          <t>리크루팅 3명</t>
        </is>
      </c>
    </row>
    <row r="7">
      <c r="A7" t="inlineStr">
        <is>
          <t>브랜드 키비주얼 시안</t>
        </is>
      </c>
      <c r="B7" t="inlineStr">
        <is>
          <t>최유진</t>
        </is>
      </c>
      <c r="C7" t="inlineStr">
        <is>
          <t>디자인</t>
        </is>
      </c>
      <c r="D7" t="n">
        <v>3</v>
      </c>
      <c r="E7" t="n">
        <v>3</v>
      </c>
      <c r="F7" s="2" t="n">
        <v>46217</v>
      </c>
      <c r="G7" t="n">
        <v>12</v>
      </c>
      <c r="H7" t="inlineStr">
        <is>
          <t>진행중</t>
        </is>
      </c>
      <c r="I7" t="n">
        <v>30</v>
      </c>
      <c r="M7" t="inlineStr">
        <is>
          <t>1차 시안 공유</t>
        </is>
      </c>
    </row>
    <row r="8">
      <c r="A8" t="inlineStr">
        <is>
          <t>서버 비용 최적화</t>
        </is>
      </c>
      <c r="B8" t="inlineStr">
        <is>
          <t>김지훈</t>
        </is>
      </c>
      <c r="C8" t="inlineStr">
        <is>
          <t>운영</t>
        </is>
      </c>
      <c r="D8" t="n">
        <v>4</v>
      </c>
      <c r="E8" t="n">
        <v>2</v>
      </c>
      <c r="F8" s="2" t="n">
        <v>46223</v>
      </c>
      <c r="G8" t="n">
        <v>6</v>
      </c>
      <c r="H8" t="inlineStr">
        <is>
          <t>대기</t>
        </is>
      </c>
      <c r="I8" t="n">
        <v>0</v>
      </c>
      <c r="M8" t="inlineStr">
        <is>
          <t>트래픽 로그 분석</t>
        </is>
      </c>
    </row>
    <row r="9">
      <c r="A9" t="inlineStr">
        <is>
          <t>랜딩페이지 카피 수정</t>
        </is>
      </c>
      <c r="B9" t="inlineStr">
        <is>
          <t>정하늘</t>
        </is>
      </c>
      <c r="C9" t="inlineStr">
        <is>
          <t>마케팅</t>
        </is>
      </c>
      <c r="D9" t="n">
        <v>2</v>
      </c>
      <c r="E9" t="n">
        <v>2</v>
      </c>
      <c r="F9" s="2" t="n">
        <v>46211</v>
      </c>
      <c r="G9" t="n">
        <v>3</v>
      </c>
      <c r="H9" t="inlineStr">
        <is>
          <t>완료</t>
        </is>
      </c>
      <c r="I9" t="n">
        <v>100</v>
      </c>
      <c r="M9" t="inlineStr">
        <is>
          <t>배포 완료</t>
        </is>
      </c>
    </row>
  </sheetData>
  <dataValidations count="3">
    <dataValidation sqref="B2:B101" showDropDown="0" showInputMessage="0" showErrorMessage="0" allowBlank="1" type="list">
      <formula1>=설정!$E$2:$E$6</formula1>
    </dataValidation>
    <dataValidation sqref="C2:C101" showDropDown="0" showInputMessage="0" showErrorMessage="0" allowBlank="1" type="list">
      <formula1>=설정!$A$2:$A$8</formula1>
    </dataValidation>
    <dataValidation sqref="H2:H101" showDropDown="0" showInputMessage="0" showErrorMessage="0" allowBlank="1" type="list">
      <formula1>=설정!$C$2:$C$5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22" customWidth="1" min="2" max="2"/>
    <col width="9" customWidth="1" min="3" max="3"/>
    <col width="9" customWidth="1" min="4" max="4"/>
    <col width="7" customWidth="1" min="5" max="5"/>
    <col width="7" customWidth="1" min="6" max="6"/>
    <col width="11" customWidth="1" min="7" max="7"/>
    <col width="7" customWidth="1" min="8" max="8"/>
    <col width="9" customWidth="1" min="9" max="9"/>
    <col width="8" customWidth="1" min="10" max="10"/>
    <col width="11" customWidth="1" min="11" max="11"/>
    <col width="8" customWidth="1" min="12" max="12"/>
    <col width="7" customWidth="1" min="13" max="13"/>
    <col width="22" customWidth="1" min="14" max="14"/>
  </cols>
  <sheetData>
    <row r="1">
      <c r="A1" s="9" t="inlineStr">
        <is>
          <t>순위</t>
        </is>
      </c>
      <c r="B1" s="9" t="inlineStr">
        <is>
          <t>과업명</t>
        </is>
      </c>
      <c r="C1" s="9" t="inlineStr">
        <is>
          <t>담당자</t>
        </is>
      </c>
      <c r="D1" s="9" t="inlineStr">
        <is>
          <t>카테고리</t>
        </is>
      </c>
      <c r="E1" s="9" t="inlineStr">
        <is>
          <t>중요도</t>
        </is>
      </c>
      <c r="F1" s="9" t="inlineStr">
        <is>
          <t>긴급도</t>
        </is>
      </c>
      <c r="G1" s="9" t="inlineStr">
        <is>
          <t>마감일</t>
        </is>
      </c>
      <c r="H1" s="9" t="inlineStr">
        <is>
          <t>공수(h)</t>
        </is>
      </c>
      <c r="I1" s="9" t="inlineStr">
        <is>
          <t>진행상태</t>
        </is>
      </c>
      <c r="J1" s="9" t="inlineStr">
        <is>
          <t>진척률(%)</t>
        </is>
      </c>
      <c r="K1" s="9" t="inlineStr">
        <is>
          <t>우선순위점수</t>
        </is>
      </c>
      <c r="L1" s="9" t="inlineStr">
        <is>
          <t>등급</t>
        </is>
      </c>
      <c r="M1" s="9" t="inlineStr">
        <is>
          <t>D-Day</t>
        </is>
      </c>
      <c r="N1" s="9" t="inlineStr">
        <is>
          <t>비고</t>
        </is>
      </c>
    </row>
    <row r="2">
      <c r="A2">
        <f>ARRAYFORMULA(IF(B2:B="","",ROW(B2:B)-1))</f>
        <v/>
      </c>
      <c r="B2">
        <f>IFERROR(SORT(FILTER(과업입력!A2:M,(과업입력!A2:A&lt;&gt;"")*(과업입력!H2:H&lt;&gt;"완료")),10,FALSE),"미완료 과업이 없습니다")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2026-07-11T13:33:02Z</dcterms:created>
  <dcterms:modified xsi:type="dcterms:W3CDTF">2026-07-11T13:33:02Z</dcterms:modified>
</cp:coreProperties>
</file>