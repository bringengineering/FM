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·대시보드" sheetId="1" state="visible" r:id="rId1"/>
    <sheet xmlns:r="http://schemas.openxmlformats.org/officeDocument/2006/relationships" name="3개년추정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인력계획" sheetId="4" state="visible" r:id="rId4"/>
    <sheet xmlns:r="http://schemas.openxmlformats.org/officeDocument/2006/relationships" name="BSC성과관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원&quot;"/>
    <numFmt numFmtId="165" formatCode="#,##0&quot; 동&quot;"/>
    <numFmt numFmtId="166" formatCode="0.0%"/>
    <numFmt numFmtId="167" formatCode="0.0&quot; 개월&quot;"/>
    <numFmt numFmtId="168" formatCode="#,##0&quot; 만원&quot;"/>
  </numFmts>
  <fonts count="9">
    <font>
      <name val="Calibri"/>
      <family val="2"/>
      <color theme="1"/>
      <sz val="11"/>
      <scheme val="minor"/>
    </font>
    <font>
      <name val="맑은 고딕"/>
      <b val="1"/>
      <color rgb="0012213B"/>
      <sz val="16"/>
    </font>
    <font>
      <name val="맑은 고딕"/>
      <color rgb="006B7488"/>
      <sz val="9.5"/>
    </font>
    <font>
      <name val="맑은 고딕"/>
      <b val="1"/>
      <color rgb="00B07A2E"/>
      <sz val="12"/>
    </font>
    <font>
      <name val="맑은 고딕"/>
      <b val="1"/>
      <color rgb="001B2436"/>
      <sz val="11"/>
    </font>
    <font>
      <name val="맑은 고딕"/>
      <b val="1"/>
      <color rgb="000000FF"/>
      <sz val="11"/>
    </font>
    <font>
      <name val="맑은 고딕"/>
      <b val="1"/>
      <color rgb="00FFFFFF"/>
      <sz val="11"/>
    </font>
    <font>
      <name val="맑은 고딕"/>
      <color rgb="001B2436"/>
      <sz val="11"/>
    </font>
    <font>
      <name val="맑은 고딕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2213B"/>
      </patternFill>
    </fill>
    <fill>
      <patternFill patternType="solid">
        <fgColor rgb="00F4F2ED"/>
      </patternFill>
    </fill>
    <fill>
      <patternFill patternType="solid">
        <fgColor rgb="00E4F1EA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4" fontId="7" fillId="2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8" fontId="4" fillId="5" borderId="1" applyAlignment="1" pivotButton="0" quotePrefix="0" xfId="0">
      <alignment horizontal="right" vertical="center"/>
    </xf>
    <xf numFmtId="0" fontId="7" fillId="4" borderId="1" pivotButton="0" quotePrefix="0" xfId="0"/>
    <xf numFmtId="168" fontId="7" fillId="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브링</author>
  </authors>
  <commentList>
    <comment ref="C11" authorId="0" shapeId="0">
      <text>
        <t>확정가: 월 89,000원/동 (5동+)</t>
      </text>
    </comment>
    <comment ref="C12" authorId="0" shapeId="0">
      <text>
        <t>이동·소모품·현장시간 배분 [확인 필요] — 3개월 실지출÷동수로 추정</t>
      </text>
    </comment>
    <comment ref="C13" authorId="0" shapeId="0">
      <text>
        <t>매달 고정으로 나가는 총액 [입력]</t>
      </text>
    </comment>
    <comment ref="C14" authorId="0" shapeId="0">
      <text>
        <t>확정 실적 7동</t>
      </text>
    </comment>
    <comment ref="C15" authorId="0" shapeId="0">
      <text>
        <t>매달 몇 동씩 느는지 [입력]</t>
      </text>
    </comment>
    <comment ref="C16" authorId="0" shapeId="0">
      <text>
        <t>지금 통장 잔액 [입력]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5" customWidth="1" min="5" max="5"/>
    <col width="30" customWidth="1" min="6" max="6"/>
  </cols>
  <sheetData>
    <row r="1">
      <c r="A1" s="1" t="inlineStr">
        <is>
          <t>브링 재무 대시보드</t>
        </is>
      </c>
    </row>
    <row r="2">
      <c r="A2" s="2" t="inlineStr">
        <is>
          <t>노란 칸만 채우면 아래 지표가 자동 계산됩니다 · 파란 글씨=확정값(수정가능) · 검정=자동계산</t>
        </is>
      </c>
    </row>
    <row r="4">
      <c r="B4" s="3" t="inlineStr">
        <is>
          <t>■ 입력 방법</t>
        </is>
      </c>
    </row>
    <row r="5">
      <c r="B5" s="4" t="inlineStr">
        <is>
          <t>노란 칸</t>
        </is>
      </c>
      <c r="C5" s="5" t="inlineStr">
        <is>
          <t>← 여기에 값을 넣으세요(직접 채움)</t>
        </is>
      </c>
    </row>
    <row r="6">
      <c r="B6" s="6" t="inlineStr">
        <is>
          <t>파란 글씨</t>
        </is>
      </c>
      <c r="C6" s="5" t="inlineStr">
        <is>
          <t>← 확정값(바꿔도 됨)</t>
        </is>
      </c>
    </row>
    <row r="7">
      <c r="B7" s="7" t="inlineStr">
        <is>
          <t>검정 글씨</t>
        </is>
      </c>
      <c r="C7" s="5" t="inlineStr">
        <is>
          <t>← 수식 자동계산(건드리지 마세요)</t>
        </is>
      </c>
    </row>
    <row r="9">
      <c r="B9" s="3" t="inlineStr">
        <is>
          <t>① 가정 입력 (INPUT)</t>
        </is>
      </c>
    </row>
    <row r="10">
      <c r="B10" s="8" t="inlineStr">
        <is>
          <t>항목</t>
        </is>
      </c>
      <c r="C10" s="8" t="inlineStr">
        <is>
          <t>값</t>
        </is>
      </c>
      <c r="D10" s="8" t="inlineStr">
        <is>
          <t>단위/비고</t>
        </is>
      </c>
    </row>
    <row r="11">
      <c r="B11" s="9" t="inlineStr">
        <is>
          <t>동당 관리비(공동관리)</t>
        </is>
      </c>
      <c r="C11" s="10" t="n">
        <v>89000</v>
      </c>
      <c r="D11" s="11" t="inlineStr"/>
    </row>
    <row r="12">
      <c r="B12" s="9" t="inlineStr">
        <is>
          <t>동당 변동비</t>
        </is>
      </c>
      <c r="C12" s="12" t="n"/>
      <c r="D12" s="11" t="inlineStr"/>
    </row>
    <row r="13">
      <c r="B13" s="9" t="inlineStr">
        <is>
          <t>월 고정비(인건비+차량+시스템 등)</t>
        </is>
      </c>
      <c r="C13" s="12" t="n"/>
      <c r="D13" s="11" t="inlineStr"/>
    </row>
    <row r="14">
      <c r="B14" s="9" t="inlineStr">
        <is>
          <t>현재 관리 동수</t>
        </is>
      </c>
      <c r="C14" s="13" t="n">
        <v>7</v>
      </c>
      <c r="D14" s="11" t="inlineStr"/>
    </row>
    <row r="15">
      <c r="B15" s="9" t="inlineStr">
        <is>
          <t>월 신규 계약 동수(성장 가정)</t>
        </is>
      </c>
      <c r="C15" s="14" t="n"/>
      <c r="D15" s="11" t="inlineStr"/>
    </row>
    <row r="16">
      <c r="B16" s="9" t="inlineStr">
        <is>
          <t>현재 현금 잔고</t>
        </is>
      </c>
      <c r="C16" s="12" t="n"/>
      <c r="D16" s="11" t="inlineStr"/>
    </row>
    <row r="18">
      <c r="B18" s="3" t="inlineStr">
        <is>
          <t>② 자동 계산 결과 (OUTPUT)</t>
        </is>
      </c>
    </row>
    <row r="19">
      <c r="B19" s="8" t="inlineStr">
        <is>
          <t>지표</t>
        </is>
      </c>
      <c r="C19" s="8" t="inlineStr">
        <is>
          <t>값</t>
        </is>
      </c>
      <c r="D19" s="8" t="inlineStr">
        <is>
          <t>의미</t>
        </is>
      </c>
    </row>
    <row r="20">
      <c r="B20" s="15" t="inlineStr">
        <is>
          <t>동당 기여이익</t>
        </is>
      </c>
      <c r="C20" s="16">
        <f>C11-C12</f>
        <v/>
      </c>
      <c r="D20" s="11" t="inlineStr">
        <is>
          <t>관리비-변동비 (동 하나당 남는 돈)</t>
        </is>
      </c>
    </row>
    <row r="21">
      <c r="B21" s="15" t="inlineStr">
        <is>
          <t>기여이익률</t>
        </is>
      </c>
      <c r="C21" s="17">
        <f>IFERROR((C11-C12)/C11,0)</f>
        <v/>
      </c>
      <c r="D21" s="11" t="inlineStr">
        <is>
          <t>매출 중 남는 비율</t>
        </is>
      </c>
    </row>
    <row r="22">
      <c r="B22" s="15" t="inlineStr">
        <is>
          <t>손익분기점(BEP) 동수</t>
        </is>
      </c>
      <c r="C22" s="18">
        <f>IFERROR(ROUNDUP(C13/(C11-C12),0),0)</f>
        <v/>
      </c>
      <c r="D22" s="11" t="inlineStr">
        <is>
          <t>이 동수부터 흑자 (고정비÷기여이익)</t>
        </is>
      </c>
    </row>
    <row r="23">
      <c r="B23" s="15" t="inlineStr">
        <is>
          <t>BEP까지 남은 동수</t>
        </is>
      </c>
      <c r="C23" s="19">
        <f>MAX(0,IFERROR(ROUNDUP(C13/(C11-C12),0),0)-C14)</f>
        <v/>
      </c>
      <c r="D23" s="11" t="inlineStr">
        <is>
          <t>앞으로 더 필요한 동</t>
        </is>
      </c>
    </row>
    <row r="24">
      <c r="B24" s="15" t="inlineStr">
        <is>
          <t>현재 월 매출(MRR)</t>
        </is>
      </c>
      <c r="C24" s="16">
        <f>C14*C11</f>
        <v/>
      </c>
      <c r="D24" s="11" t="inlineStr">
        <is>
          <t>현재 동수 × 관리비</t>
        </is>
      </c>
    </row>
    <row r="25">
      <c r="B25" s="15" t="inlineStr">
        <is>
          <t>현재 월 영업손익</t>
        </is>
      </c>
      <c r="C25" s="20">
        <f>C14*(C11-C12)-C13</f>
        <v/>
      </c>
      <c r="D25" s="11" t="inlineStr">
        <is>
          <t>(+)면 흑자, (-)면 적자</t>
        </is>
      </c>
    </row>
    <row r="26">
      <c r="B26" s="15" t="inlineStr">
        <is>
          <t>BEP 도달 예상(개월)</t>
        </is>
      </c>
      <c r="C26" s="21">
        <f>IF(C15&gt;0,MAX(0,IFERROR(ROUNDUP(C13/(C11-C12),0),0)-C14)/C15,"성장가정 입력")</f>
        <v/>
      </c>
      <c r="D26" s="11" t="inlineStr">
        <is>
          <t>남은동수 ÷ 월신규동수</t>
        </is>
      </c>
    </row>
    <row r="27">
      <c r="B27" s="15" t="inlineStr">
        <is>
          <t>런웨이(적자 시)</t>
        </is>
      </c>
      <c r="C27" s="21">
        <f>IF(C25&gt;=0,"흑자 — 무한",IFERROR(C16/(-C25),0))</f>
        <v/>
      </c>
      <c r="D27" s="11" t="inlineStr">
        <is>
          <t>현금 ÷ 월 소진액</t>
        </is>
      </c>
    </row>
    <row r="28">
      <c r="B28" s="5" t="inlineStr">
        <is>
          <t>▸ 노란 칸 3개(변동비·고정비·성장)만 채우면 나머지가 전부 자동으로 채워집니다.</t>
        </is>
      </c>
    </row>
    <row r="29">
      <c r="B29" s="5" t="inlineStr">
        <is>
          <t>▸ 예: 변동비 30,000 / 고정비 5,000,000 / 신규 2동 → BEP·런웨이가 즉시 계산됨.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5" customWidth="1" min="3" max="3"/>
    <col width="15" customWidth="1" min="4" max="4"/>
    <col width="15" customWidth="1" min="5" max="5"/>
    <col width="26" customWidth="1" min="6" max="6"/>
  </cols>
  <sheetData>
    <row r="1">
      <c r="A1" s="1" t="inlineStr">
        <is>
          <t>3개년 재무추정</t>
        </is>
      </c>
    </row>
    <row r="2">
      <c r="A2" s="2" t="inlineStr">
        <is>
          <t>연말 동수(노란 칸)를 넣으면 매출·비용·영업이익이 자동 계산 · 단가는 대시보드 가정 참조</t>
        </is>
      </c>
    </row>
    <row r="4">
      <c r="B4" s="2" t="inlineStr">
        <is>
          <t>가정: 단가·변동비·고정비는 '가정·대시보드' 시트 값을 그대로 사용</t>
        </is>
      </c>
    </row>
    <row r="6">
      <c r="B6" s="8" t="inlineStr">
        <is>
          <t>구분</t>
        </is>
      </c>
      <c r="C6" s="8" t="inlineStr">
        <is>
          <t>1차년도</t>
        </is>
      </c>
      <c r="D6" s="8" t="inlineStr">
        <is>
          <t>2차년도</t>
        </is>
      </c>
      <c r="E6" s="8" t="inlineStr">
        <is>
          <t>3차년도</t>
        </is>
      </c>
    </row>
    <row r="7">
      <c r="B7" s="9" t="inlineStr">
        <is>
          <t>연말 관리 동수 [입력]</t>
        </is>
      </c>
      <c r="C7" s="14" t="n"/>
      <c r="D7" s="14" t="n"/>
      <c r="E7" s="14" t="n"/>
    </row>
    <row r="8">
      <c r="B8" s="9" t="inlineStr">
        <is>
          <t>연평균 동수(자동)</t>
        </is>
      </c>
      <c r="C8" s="19">
        <f>('가정·대시보드'!C14+C7)/2</f>
        <v/>
      </c>
      <c r="D8" s="19">
        <f>(C7+D7)/2</f>
        <v/>
      </c>
      <c r="E8" s="19">
        <f>(D7+E7)/2</f>
        <v/>
      </c>
    </row>
    <row r="9">
      <c r="B9" s="9" t="inlineStr">
        <is>
          <t>연 매출액</t>
        </is>
      </c>
      <c r="C9" s="16">
        <f>C8*'가정·대시보드'!C11*12</f>
        <v/>
      </c>
      <c r="D9" s="16">
        <f>D8*'가정·대시보드'!C11*12</f>
        <v/>
      </c>
      <c r="E9" s="16">
        <f>E8*'가정·대시보드'!C11*12</f>
        <v/>
      </c>
    </row>
    <row r="10">
      <c r="B10" s="9" t="inlineStr">
        <is>
          <t>연 변동비</t>
        </is>
      </c>
      <c r="C10" s="16">
        <f>C8*'가정·대시보드'!C12*12</f>
        <v/>
      </c>
      <c r="D10" s="16">
        <f>D8*'가정·대시보드'!C12*12</f>
        <v/>
      </c>
      <c r="E10" s="16">
        <f>E8*'가정·대시보드'!C12*12</f>
        <v/>
      </c>
    </row>
    <row r="11">
      <c r="B11" s="9" t="inlineStr">
        <is>
          <t>연 고정비</t>
        </is>
      </c>
      <c r="C11" s="16">
        <f>'가정·대시보드'!C13*12</f>
        <v/>
      </c>
      <c r="D11" s="16">
        <f>'가정·대시보드'!C13*12</f>
        <v/>
      </c>
      <c r="E11" s="16">
        <f>'가정·대시보드'!C13*12</f>
        <v/>
      </c>
    </row>
    <row r="12">
      <c r="B12" s="15" t="inlineStr">
        <is>
          <t>연 영업이익</t>
        </is>
      </c>
      <c r="C12" s="20">
        <f>C9-C10-C11</f>
        <v/>
      </c>
      <c r="D12" s="20">
        <f>D9-D10-D11</f>
        <v/>
      </c>
      <c r="E12" s="20">
        <f>E9-E10-E11</f>
        <v/>
      </c>
    </row>
    <row r="13">
      <c r="B13" s="9" t="inlineStr">
        <is>
          <t>누적 영업이익</t>
        </is>
      </c>
      <c r="C13" s="16">
        <f>C12</f>
        <v/>
      </c>
      <c r="D13" s="16">
        <f>C13+D12</f>
        <v/>
      </c>
      <c r="E13" s="16">
        <f>D13+E12</f>
        <v/>
      </c>
    </row>
    <row r="15">
      <c r="B15" s="5" t="inlineStr">
        <is>
          <t>▸ 단위 통일(원). 성장 가정(동수)은 보수적으로. 해지율이 있으면 연말 동수에 미리 반영하세요.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CAPEX · 초기 투자</t>
        </is>
      </c>
    </row>
    <row r="2">
      <c r="A2" s="2" t="inlineStr">
        <is>
          <t>개략(파란=계획치) → 실제 견적으로 교체 · 합계 자동</t>
        </is>
      </c>
    </row>
    <row r="4">
      <c r="B4" s="8" t="inlineStr">
        <is>
          <t>항목</t>
        </is>
      </c>
      <c r="C4" s="8" t="inlineStr">
        <is>
          <t>내용</t>
        </is>
      </c>
      <c r="D4" s="8" t="inlineStr">
        <is>
          <t>개략 최소(만원)</t>
        </is>
      </c>
      <c r="E4" s="8" t="inlineStr">
        <is>
          <t>개략 최대(만원)</t>
        </is>
      </c>
      <c r="F4" s="8" t="inlineStr">
        <is>
          <t>담당</t>
        </is>
      </c>
    </row>
    <row r="5">
      <c r="B5" s="9" t="inlineStr">
        <is>
          <t>현장 이동수단(차량)</t>
        </is>
      </c>
      <c r="C5" s="9" t="inlineStr">
        <is>
          <t>권역 이동·점검·자재</t>
        </is>
      </c>
      <c r="D5" s="22" t="n">
        <v>500</v>
      </c>
      <c r="E5" s="22" t="n">
        <v>2000</v>
      </c>
      <c r="F5" s="23" t="inlineStr">
        <is>
          <t>대표</t>
        </is>
      </c>
    </row>
    <row r="6">
      <c r="B6" s="9" t="inlineStr">
        <is>
          <t>점검·청소·수리 장비·공구</t>
        </is>
      </c>
      <c r="C6" s="9" t="inlineStr">
        <is>
          <t>직접 수행 + 촬영</t>
        </is>
      </c>
      <c r="D6" s="22" t="n">
        <v>150</v>
      </c>
      <c r="E6" s="22" t="n">
        <v>400</v>
      </c>
      <c r="F6" s="23" t="inlineStr">
        <is>
          <t>대표</t>
        </is>
      </c>
    </row>
    <row r="7">
      <c r="B7" s="9" t="inlineStr">
        <is>
          <t>IoT 센서 파일럿</t>
        </is>
      </c>
      <c r="C7" s="9" t="inlineStr">
        <is>
          <t>도어락·누수·에너지</t>
        </is>
      </c>
      <c r="D7" s="22" t="n">
        <v>100</v>
      </c>
      <c r="E7" s="22" t="n">
        <v>500</v>
      </c>
      <c r="F7" s="23" t="inlineStr">
        <is>
          <t>우중</t>
        </is>
      </c>
    </row>
    <row r="8">
      <c r="B8" s="9" t="inlineStr">
        <is>
          <t>IT 인프라 초기 구축</t>
        </is>
      </c>
      <c r="C8" s="9" t="inlineStr">
        <is>
          <t>서버·DB·도메인·보안</t>
        </is>
      </c>
      <c r="D8" s="22" t="n">
        <v>100</v>
      </c>
      <c r="E8" s="22" t="n">
        <v>300</v>
      </c>
      <c r="F8" s="23" t="inlineStr">
        <is>
          <t>현진</t>
        </is>
      </c>
    </row>
    <row r="9">
      <c r="B9" s="9" t="inlineStr">
        <is>
          <t>법인 전환·법무</t>
        </is>
      </c>
      <c r="C9" s="9" t="inlineStr">
        <is>
          <t>전환·정관·주주간계약</t>
        </is>
      </c>
      <c r="D9" s="22" t="n">
        <v>250</v>
      </c>
      <c r="E9" s="22" t="n">
        <v>600</v>
      </c>
      <c r="F9" s="23" t="inlineStr">
        <is>
          <t>대표</t>
        </is>
      </c>
    </row>
    <row r="10">
      <c r="B10" s="9" t="inlineStr">
        <is>
          <t>상표·SW저작권·(특허)</t>
        </is>
      </c>
      <c r="C10" s="9" t="inlineStr">
        <is>
          <t>IP 초기 출원</t>
        </is>
      </c>
      <c r="D10" s="22" t="n">
        <v>250</v>
      </c>
      <c r="E10" s="22" t="n">
        <v>500</v>
      </c>
      <c r="F10" s="23" t="inlineStr">
        <is>
          <t>대표</t>
        </is>
      </c>
    </row>
    <row r="11">
      <c r="B11" s="15" t="inlineStr">
        <is>
          <t>현금성 초기투자 합계</t>
        </is>
      </c>
      <c r="C11" s="24" t="inlineStr">
        <is>
          <t>개발·예비자금 별도</t>
        </is>
      </c>
      <c r="D11" s="25">
        <f>SUM(D5:D10)</f>
        <v/>
      </c>
      <c r="E11" s="25">
        <f>SUM(E5:E10)</f>
        <v/>
      </c>
      <c r="F11" s="26" t="inlineStr"/>
    </row>
    <row r="12">
      <c r="B12" s="9" t="inlineStr">
        <is>
          <t>플랫폼 개발/운영 예비자금</t>
        </is>
      </c>
      <c r="C12" s="9" t="inlineStr">
        <is>
          <t>인건비·3~6개월 버퍼</t>
        </is>
      </c>
      <c r="D12" s="27" t="n"/>
      <c r="E12" s="27" t="n"/>
      <c r="F12" s="23" t="inlineStr">
        <is>
          <t>대표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2" customWidth="1" min="4" max="4"/>
    <col width="14" customWidth="1" min="5" max="5"/>
    <col width="24" customWidth="1" min="6" max="6"/>
  </cols>
  <sheetData>
    <row r="1">
      <c r="A1" s="1" t="inlineStr">
        <is>
          <t>인력계획 (FTE)</t>
        </is>
      </c>
    </row>
    <row r="2">
      <c r="A2" s="2" t="inlineStr">
        <is>
          <t>동 수 확장에 맞춘 인력 · 1인 관리용량을 실측해 채우세요</t>
        </is>
      </c>
    </row>
    <row r="4">
      <c r="B4" s="8" t="inlineStr">
        <is>
          <t>역할</t>
        </is>
      </c>
      <c r="C4" s="8" t="inlineStr">
        <is>
          <t>담당</t>
        </is>
      </c>
      <c r="D4" s="8" t="inlineStr">
        <is>
          <t>현재</t>
        </is>
      </c>
      <c r="E4" s="8" t="inlineStr">
        <is>
          <t>BEP시점</t>
        </is>
      </c>
      <c r="F4" s="8" t="inlineStr">
        <is>
          <t>비고</t>
        </is>
      </c>
    </row>
    <row r="5">
      <c r="B5" s="9" t="inlineStr">
        <is>
          <t>대표·영업·현장</t>
        </is>
      </c>
      <c r="C5" s="23" t="inlineStr">
        <is>
          <t>서창환</t>
        </is>
      </c>
      <c r="D5" s="28" t="n">
        <v>1</v>
      </c>
      <c r="E5" s="28" t="n">
        <v>1</v>
      </c>
      <c r="F5" s="11" t="inlineStr">
        <is>
          <t>고정</t>
        </is>
      </c>
    </row>
    <row r="6">
      <c r="B6" s="9" t="inlineStr">
        <is>
          <t>개발·자동화·CRM</t>
        </is>
      </c>
      <c r="C6" s="23" t="inlineStr">
        <is>
          <t>현진</t>
        </is>
      </c>
      <c r="D6" s="28" t="n">
        <v>1</v>
      </c>
      <c r="E6" s="28" t="n">
        <v>1</v>
      </c>
      <c r="F6" s="11" t="inlineStr"/>
    </row>
    <row r="7">
      <c r="B7" s="9" t="inlineStr">
        <is>
          <t>하드웨어·IoT</t>
        </is>
      </c>
      <c r="C7" s="23" t="inlineStr">
        <is>
          <t>우중</t>
        </is>
      </c>
      <c r="D7" s="28" t="n">
        <v>1</v>
      </c>
      <c r="E7" s="28" t="n">
        <v>1</v>
      </c>
      <c r="F7" s="11" t="inlineStr"/>
    </row>
    <row r="8">
      <c r="B8" s="9" t="inlineStr">
        <is>
          <t>현장 운영(관리·점검)</t>
        </is>
      </c>
      <c r="C8" s="29" t="inlineStr">
        <is>
          <t>[입력]</t>
        </is>
      </c>
      <c r="D8" s="29" t="n"/>
      <c r="E8" s="29" t="n"/>
      <c r="F8" s="11" t="inlineStr">
        <is>
          <t>1인 관리용량 [확인 필요]</t>
        </is>
      </c>
    </row>
    <row r="9">
      <c r="B9" s="15" t="inlineStr">
        <is>
          <t>총 인원(FTE)</t>
        </is>
      </c>
      <c r="C9" s="26" t="inlineStr"/>
      <c r="D9" s="30">
        <f>SUM(D5:D8)</f>
        <v/>
      </c>
      <c r="E9" s="30">
        <f>SUM(E5:E8)</f>
        <v/>
      </c>
      <c r="F9" s="24" t="inlineStr">
        <is>
          <t>전임환산</t>
        </is>
      </c>
    </row>
    <row r="11">
      <c r="B11" s="5" t="inlineStr">
        <is>
          <t>▸ 1인이 몇 동까지 보는지(관리용량)를 실측하면 '동수↔인력↔비용'이 한 줄로 연결됩니다.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성과관리 대시보드 (BSC 4관점)</t>
        </is>
      </c>
    </row>
    <row r="2">
      <c r="A2" s="2" t="inlineStr">
        <is>
          <t>KPI·현재·목표·측정주기 (노란=채움) · 월 1회 갱신</t>
        </is>
      </c>
    </row>
    <row r="4">
      <c r="B4" s="3" t="inlineStr">
        <is>
          <t>① 재무 (Financial)</t>
        </is>
      </c>
    </row>
    <row r="5">
      <c r="B5" s="8" t="inlineStr">
        <is>
          <t>KPI(지표)</t>
        </is>
      </c>
      <c r="C5" s="8" t="inlineStr">
        <is>
          <t>현재값</t>
        </is>
      </c>
      <c r="D5" s="8" t="inlineStr">
        <is>
          <t>목표값</t>
        </is>
      </c>
      <c r="E5" s="8" t="inlineStr">
        <is>
          <t>측정주기</t>
        </is>
      </c>
    </row>
    <row r="6">
      <c r="B6" s="9" t="inlineStr">
        <is>
          <t>월 고정매출(MRR)</t>
        </is>
      </c>
      <c r="C6" s="29" t="n"/>
      <c r="D6" s="29" t="n"/>
      <c r="E6" s="31" t="inlineStr">
        <is>
          <t>월</t>
        </is>
      </c>
    </row>
    <row r="7">
      <c r="B7" s="9" t="inlineStr">
        <is>
          <t>관리 동수</t>
        </is>
      </c>
      <c r="C7" s="23" t="inlineStr">
        <is>
          <t>'가정·대시보드'!C14</t>
        </is>
      </c>
      <c r="D7" s="29" t="n"/>
      <c r="E7" s="31" t="inlineStr">
        <is>
          <t>월</t>
        </is>
      </c>
    </row>
    <row r="8">
      <c r="B8" s="9" t="inlineStr">
        <is>
          <t>동당 기여이익</t>
        </is>
      </c>
      <c r="C8" s="23" t="inlineStr">
        <is>
          <t>'가정·대시보드'!C20</t>
        </is>
      </c>
      <c r="D8" s="29" t="n"/>
      <c r="E8" s="31" t="inlineStr">
        <is>
          <t>월</t>
        </is>
      </c>
    </row>
    <row r="9">
      <c r="B9" s="9" t="inlineStr">
        <is>
          <t>영업이익률</t>
        </is>
      </c>
      <c r="C9" s="29" t="n"/>
      <c r="D9" s="29" t="n"/>
      <c r="E9" s="31" t="inlineStr">
        <is>
          <t>분기</t>
        </is>
      </c>
    </row>
    <row r="11">
      <c r="B11" s="3" t="inlineStr">
        <is>
          <t>② 고객 (Customer)</t>
        </is>
      </c>
    </row>
    <row r="12">
      <c r="B12" s="8" t="inlineStr">
        <is>
          <t>KPI(지표)</t>
        </is>
      </c>
      <c r="C12" s="8" t="inlineStr">
        <is>
          <t>현재값</t>
        </is>
      </c>
      <c r="D12" s="8" t="inlineStr">
        <is>
          <t>목표값</t>
        </is>
      </c>
      <c r="E12" s="8" t="inlineStr">
        <is>
          <t>측정주기</t>
        </is>
      </c>
    </row>
    <row r="13">
      <c r="B13" s="9" t="inlineStr">
        <is>
          <t>신규 계약 동수/월</t>
        </is>
      </c>
      <c r="C13" s="29" t="n"/>
      <c r="D13" s="29" t="n"/>
      <c r="E13" s="31" t="inlineStr">
        <is>
          <t>월</t>
        </is>
      </c>
    </row>
    <row r="14">
      <c r="B14" s="9" t="inlineStr">
        <is>
          <t>해지율(이탈)</t>
        </is>
      </c>
      <c r="C14" s="29" t="n"/>
      <c r="D14" s="29" t="n"/>
      <c r="E14" s="31" t="inlineStr">
        <is>
          <t>월</t>
        </is>
      </c>
    </row>
    <row r="15">
      <c r="B15" s="9" t="inlineStr">
        <is>
          <t>건물주 재계약률</t>
        </is>
      </c>
      <c r="C15" s="29" t="n"/>
      <c r="D15" s="29" t="n"/>
      <c r="E15" s="31" t="inlineStr">
        <is>
          <t>분기</t>
        </is>
      </c>
    </row>
    <row r="16">
      <c r="B16" s="9" t="inlineStr">
        <is>
          <t>공실 대응 소요일</t>
        </is>
      </c>
      <c r="C16" s="29" t="n"/>
      <c r="D16" s="29" t="n"/>
      <c r="E16" s="31" t="inlineStr">
        <is>
          <t>건별</t>
        </is>
      </c>
    </row>
    <row r="18">
      <c r="B18" s="3" t="inlineStr">
        <is>
          <t>③ 내부 프로세스 (Process)</t>
        </is>
      </c>
    </row>
    <row r="19">
      <c r="B19" s="8" t="inlineStr">
        <is>
          <t>KPI(지표)</t>
        </is>
      </c>
      <c r="C19" s="8" t="inlineStr">
        <is>
          <t>현재값</t>
        </is>
      </c>
      <c r="D19" s="8" t="inlineStr">
        <is>
          <t>목표값</t>
        </is>
      </c>
      <c r="E19" s="8" t="inlineStr">
        <is>
          <t>측정주기</t>
        </is>
      </c>
    </row>
    <row r="20">
      <c r="B20" s="9" t="inlineStr">
        <is>
          <t>민원 케이스 처리시간</t>
        </is>
      </c>
      <c r="C20" s="29" t="n"/>
      <c r="D20" s="29" t="n"/>
      <c r="E20" s="31" t="inlineStr">
        <is>
          <t>월</t>
        </is>
      </c>
    </row>
    <row r="21">
      <c r="B21" s="9" t="inlineStr">
        <is>
          <t>정기점검 준수율(월2회)</t>
        </is>
      </c>
      <c r="C21" s="29" t="n"/>
      <c r="D21" s="29" t="n"/>
      <c r="E21" s="31" t="inlineStr">
        <is>
          <t>월</t>
        </is>
      </c>
    </row>
    <row r="22">
      <c r="B22" s="9" t="inlineStr">
        <is>
          <t>AI 민원분류 정확도</t>
        </is>
      </c>
      <c r="C22" s="23" t="inlineStr">
        <is>
          <t>[확인 필요]</t>
        </is>
      </c>
      <c r="D22" s="29" t="n"/>
      <c r="E22" s="31" t="inlineStr">
        <is>
          <t>월</t>
        </is>
      </c>
    </row>
    <row r="23">
      <c r="B23" s="9" t="inlineStr">
        <is>
          <t>완료보고·사진 누락률</t>
        </is>
      </c>
      <c r="C23" s="29" t="n"/>
      <c r="D23" s="29" t="n"/>
      <c r="E23" s="31" t="inlineStr">
        <is>
          <t>월</t>
        </is>
      </c>
    </row>
    <row r="25">
      <c r="B25" s="3" t="inlineStr">
        <is>
          <t>④ 학습·성장 (Learning)</t>
        </is>
      </c>
    </row>
    <row r="26">
      <c r="B26" s="8" t="inlineStr">
        <is>
          <t>KPI(지표)</t>
        </is>
      </c>
      <c r="C26" s="8" t="inlineStr">
        <is>
          <t>현재값</t>
        </is>
      </c>
      <c r="D26" s="8" t="inlineStr">
        <is>
          <t>목표값</t>
        </is>
      </c>
      <c r="E26" s="8" t="inlineStr">
        <is>
          <t>측정주기</t>
        </is>
      </c>
    </row>
    <row r="27">
      <c r="B27" s="9" t="inlineStr">
        <is>
          <t>데이터 축적(동/세대)</t>
        </is>
      </c>
      <c r="C27" s="23" t="inlineStr">
        <is>
          <t>5,129동/26,825세대</t>
        </is>
      </c>
      <c r="D27" s="29" t="n"/>
      <c r="E27" s="31" t="inlineStr">
        <is>
          <t>분기</t>
        </is>
      </c>
    </row>
    <row r="28">
      <c r="B28" s="9" t="inlineStr">
        <is>
          <t>시스템 개선 건수</t>
        </is>
      </c>
      <c r="C28" s="29" t="n"/>
      <c r="D28" s="29" t="n"/>
      <c r="E28" s="31" t="inlineStr">
        <is>
          <t>분기</t>
        </is>
      </c>
    </row>
    <row r="29">
      <c r="B29" s="9" t="inlineStr">
        <is>
          <t>팀 역량·채용</t>
        </is>
      </c>
      <c r="C29" s="29" t="n"/>
      <c r="D29" s="29" t="n"/>
      <c r="E29" s="31" t="inlineStr">
        <is>
          <t>분기</t>
        </is>
      </c>
    </row>
    <row r="30">
      <c r="B30" s="9" t="inlineStr">
        <is>
          <t>IP·인증 확보 수</t>
        </is>
      </c>
      <c r="C30" s="29" t="n"/>
      <c r="D30" s="29" t="n"/>
      <c r="E30" s="31" t="inlineStr">
        <is>
          <t>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2026-08-22T13:39:29Z</dcterms:created>
  <dcterms:modified xmlns:dcterms="http://purl.org/dc/terms/" xmlns:xsi="http://www.w3.org/2001/XMLSchema-instance" xsi:type="dcterms:W3CDTF">2026-08-22T13:39:29Z</dcterms:modified>
</cp:coreProperties>
</file>